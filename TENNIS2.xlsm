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public\lesson\Python\pytennis\.refprog\"/>
    </mc:Choice>
  </mc:AlternateContent>
  <xr:revisionPtr revIDLastSave="0" documentId="13_ncr:1_{2314108E-75C6-4976-819C-8820BA6B7A6C}" xr6:coauthVersionLast="46" xr6:coauthVersionMax="46" xr10:uidLastSave="{00000000-0000-0000-0000-000000000000}"/>
  <bookViews>
    <workbookView xWindow="-25815" yWindow="1800" windowWidth="25140" windowHeight="13500" activeTab="5" xr2:uid="{00000000-000D-0000-FFFF-FFFF00000000}"/>
  </bookViews>
  <sheets>
    <sheet name="テニスコート" sheetId="1" r:id="rId1"/>
    <sheet name="Sheet2" sheetId="6" r:id="rId2"/>
    <sheet name="スピード" sheetId="2" r:id="rId3"/>
    <sheet name="色マップ" sheetId="3" r:id="rId4"/>
    <sheet name="色マップ2" sheetId="4" r:id="rId5"/>
    <sheet name="Sheet2 (2)" sheetId="7" r:id="rId6"/>
  </sheets>
  <definedNames>
    <definedName name="_xlnm._FilterDatabase" localSheetId="3" hidden="1">色マップ!$A$1:$M$429</definedName>
    <definedName name="_xlnm._FilterDatabase" localSheetId="4" hidden="1">色マップ2!$A$1:$G$951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7" l="1"/>
  <c r="F5" i="7"/>
  <c r="G8" i="7"/>
  <c r="H8" i="7"/>
  <c r="H28" i="7"/>
  <c r="O28" i="7" s="1"/>
  <c r="H29" i="7"/>
  <c r="I29" i="7" s="1"/>
  <c r="Q29" i="7" s="1"/>
  <c r="O29" i="7"/>
  <c r="P29" i="7"/>
  <c r="H30" i="7"/>
  <c r="I30" i="7" s="1"/>
  <c r="J30" i="7" s="1"/>
  <c r="O30" i="7"/>
  <c r="P30" i="7" s="1"/>
  <c r="E34" i="7"/>
  <c r="F34" i="7" s="1"/>
  <c r="C36" i="7"/>
  <c r="C37" i="7" s="1"/>
  <c r="C38" i="7" s="1"/>
  <c r="C39" i="7" s="1"/>
  <c r="C40" i="7" s="1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F11" i="2"/>
  <c r="I13" i="2"/>
  <c r="F9" i="2"/>
  <c r="E9" i="2"/>
  <c r="F7" i="2"/>
  <c r="E7" i="2"/>
  <c r="AD3" i="1"/>
  <c r="AD4" i="1"/>
  <c r="AD5" i="1"/>
  <c r="AD6" i="1"/>
  <c r="AD7" i="1"/>
  <c r="AC7" i="1"/>
  <c r="AC6" i="1"/>
  <c r="M2" i="1"/>
  <c r="N2" i="1"/>
  <c r="K2" i="1"/>
  <c r="L2" i="1" s="1"/>
  <c r="J2" i="1"/>
  <c r="G2" i="1"/>
  <c r="H2" i="1" s="1"/>
  <c r="K3" i="1"/>
  <c r="L3" i="1" s="1"/>
  <c r="G3" i="1"/>
  <c r="H3" i="1" s="1"/>
  <c r="AD31" i="1"/>
  <c r="AC30" i="1"/>
  <c r="X30" i="1"/>
  <c r="L38" i="1"/>
  <c r="K38" i="1" s="1"/>
  <c r="G951" i="4"/>
  <c r="F951" i="4"/>
  <c r="E951" i="4"/>
  <c r="G950" i="4"/>
  <c r="F950" i="4"/>
  <c r="E950" i="4"/>
  <c r="G949" i="4"/>
  <c r="F949" i="4"/>
  <c r="E949" i="4"/>
  <c r="G948" i="4"/>
  <c r="F948" i="4"/>
  <c r="E948" i="4"/>
  <c r="G947" i="4"/>
  <c r="F947" i="4"/>
  <c r="E947" i="4"/>
  <c r="G946" i="4"/>
  <c r="F946" i="4"/>
  <c r="E946" i="4"/>
  <c r="G945" i="4"/>
  <c r="F945" i="4"/>
  <c r="E945" i="4"/>
  <c r="G944" i="4"/>
  <c r="F944" i="4"/>
  <c r="E944" i="4"/>
  <c r="G943" i="4"/>
  <c r="F943" i="4"/>
  <c r="E943" i="4"/>
  <c r="G942" i="4"/>
  <c r="F942" i="4"/>
  <c r="E942" i="4"/>
  <c r="G941" i="4"/>
  <c r="F941" i="4"/>
  <c r="E941" i="4"/>
  <c r="G940" i="4"/>
  <c r="F940" i="4"/>
  <c r="E940" i="4"/>
  <c r="G939" i="4"/>
  <c r="F939" i="4"/>
  <c r="E939" i="4"/>
  <c r="G938" i="4"/>
  <c r="F938" i="4"/>
  <c r="E938" i="4"/>
  <c r="G937" i="4"/>
  <c r="F937" i="4"/>
  <c r="E937" i="4"/>
  <c r="G936" i="4"/>
  <c r="F936" i="4"/>
  <c r="E936" i="4"/>
  <c r="G935" i="4"/>
  <c r="F935" i="4"/>
  <c r="E935" i="4"/>
  <c r="G934" i="4"/>
  <c r="F934" i="4"/>
  <c r="E934" i="4"/>
  <c r="G933" i="4"/>
  <c r="F933" i="4"/>
  <c r="E933" i="4"/>
  <c r="G932" i="4"/>
  <c r="F932" i="4"/>
  <c r="E932" i="4"/>
  <c r="G931" i="4"/>
  <c r="F931" i="4"/>
  <c r="E931" i="4"/>
  <c r="G930" i="4"/>
  <c r="F930" i="4"/>
  <c r="E930" i="4"/>
  <c r="G929" i="4"/>
  <c r="F929" i="4"/>
  <c r="E929" i="4"/>
  <c r="G928" i="4"/>
  <c r="F928" i="4"/>
  <c r="E928" i="4"/>
  <c r="G927" i="4"/>
  <c r="F927" i="4"/>
  <c r="E927" i="4"/>
  <c r="G926" i="4"/>
  <c r="F926" i="4"/>
  <c r="E926" i="4"/>
  <c r="G925" i="4"/>
  <c r="F925" i="4"/>
  <c r="E925" i="4"/>
  <c r="G924" i="4"/>
  <c r="F924" i="4"/>
  <c r="E924" i="4"/>
  <c r="G923" i="4"/>
  <c r="F923" i="4"/>
  <c r="E923" i="4"/>
  <c r="G922" i="4"/>
  <c r="F922" i="4"/>
  <c r="E922" i="4"/>
  <c r="G921" i="4"/>
  <c r="F921" i="4"/>
  <c r="E921" i="4"/>
  <c r="G920" i="4"/>
  <c r="F920" i="4"/>
  <c r="E920" i="4"/>
  <c r="G919" i="4"/>
  <c r="F919" i="4"/>
  <c r="E919" i="4"/>
  <c r="G918" i="4"/>
  <c r="F918" i="4"/>
  <c r="E918" i="4"/>
  <c r="G917" i="4"/>
  <c r="F917" i="4"/>
  <c r="E917" i="4"/>
  <c r="G916" i="4"/>
  <c r="F916" i="4"/>
  <c r="E916" i="4"/>
  <c r="G915" i="4"/>
  <c r="F915" i="4"/>
  <c r="E915" i="4"/>
  <c r="G914" i="4"/>
  <c r="F914" i="4"/>
  <c r="E914" i="4"/>
  <c r="G913" i="4"/>
  <c r="F913" i="4"/>
  <c r="E913" i="4"/>
  <c r="G912" i="4"/>
  <c r="F912" i="4"/>
  <c r="E912" i="4"/>
  <c r="G911" i="4"/>
  <c r="F911" i="4"/>
  <c r="E911" i="4"/>
  <c r="G910" i="4"/>
  <c r="F910" i="4"/>
  <c r="E910" i="4"/>
  <c r="G909" i="4"/>
  <c r="F909" i="4"/>
  <c r="E909" i="4"/>
  <c r="G908" i="4"/>
  <c r="F908" i="4"/>
  <c r="E908" i="4"/>
  <c r="G907" i="4"/>
  <c r="F907" i="4"/>
  <c r="E907" i="4"/>
  <c r="G906" i="4"/>
  <c r="F906" i="4"/>
  <c r="E906" i="4"/>
  <c r="G905" i="4"/>
  <c r="F905" i="4"/>
  <c r="E905" i="4"/>
  <c r="G904" i="4"/>
  <c r="F904" i="4"/>
  <c r="E904" i="4"/>
  <c r="G903" i="4"/>
  <c r="F903" i="4"/>
  <c r="E903" i="4"/>
  <c r="G902" i="4"/>
  <c r="F902" i="4"/>
  <c r="E902" i="4"/>
  <c r="G901" i="4"/>
  <c r="F901" i="4"/>
  <c r="E901" i="4"/>
  <c r="G900" i="4"/>
  <c r="F900" i="4"/>
  <c r="E900" i="4"/>
  <c r="G899" i="4"/>
  <c r="F899" i="4"/>
  <c r="E899" i="4"/>
  <c r="G898" i="4"/>
  <c r="F898" i="4"/>
  <c r="E898" i="4"/>
  <c r="G897" i="4"/>
  <c r="F897" i="4"/>
  <c r="E897" i="4"/>
  <c r="G896" i="4"/>
  <c r="F896" i="4"/>
  <c r="E896" i="4"/>
  <c r="G895" i="4"/>
  <c r="F895" i="4"/>
  <c r="E895" i="4"/>
  <c r="G894" i="4"/>
  <c r="F894" i="4"/>
  <c r="E894" i="4"/>
  <c r="G893" i="4"/>
  <c r="F893" i="4"/>
  <c r="E893" i="4"/>
  <c r="G892" i="4"/>
  <c r="F892" i="4"/>
  <c r="E892" i="4"/>
  <c r="G891" i="4"/>
  <c r="F891" i="4"/>
  <c r="E891" i="4"/>
  <c r="G890" i="4"/>
  <c r="F890" i="4"/>
  <c r="E890" i="4"/>
  <c r="G889" i="4"/>
  <c r="F889" i="4"/>
  <c r="E889" i="4"/>
  <c r="G888" i="4"/>
  <c r="F888" i="4"/>
  <c r="E888" i="4"/>
  <c r="G887" i="4"/>
  <c r="F887" i="4"/>
  <c r="E887" i="4"/>
  <c r="G886" i="4"/>
  <c r="F886" i="4"/>
  <c r="E886" i="4"/>
  <c r="G885" i="4"/>
  <c r="F885" i="4"/>
  <c r="E885" i="4"/>
  <c r="G884" i="4"/>
  <c r="F884" i="4"/>
  <c r="E884" i="4"/>
  <c r="G883" i="4"/>
  <c r="F883" i="4"/>
  <c r="E883" i="4"/>
  <c r="G882" i="4"/>
  <c r="F882" i="4"/>
  <c r="E882" i="4"/>
  <c r="G881" i="4"/>
  <c r="F881" i="4"/>
  <c r="E881" i="4"/>
  <c r="G880" i="4"/>
  <c r="F880" i="4"/>
  <c r="E880" i="4"/>
  <c r="G879" i="4"/>
  <c r="F879" i="4"/>
  <c r="E879" i="4"/>
  <c r="G878" i="4"/>
  <c r="F878" i="4"/>
  <c r="E878" i="4"/>
  <c r="G877" i="4"/>
  <c r="F877" i="4"/>
  <c r="E877" i="4"/>
  <c r="G876" i="4"/>
  <c r="F876" i="4"/>
  <c r="E876" i="4"/>
  <c r="G875" i="4"/>
  <c r="F875" i="4"/>
  <c r="E875" i="4"/>
  <c r="G874" i="4"/>
  <c r="F874" i="4"/>
  <c r="E874" i="4"/>
  <c r="G873" i="4"/>
  <c r="F873" i="4"/>
  <c r="E873" i="4"/>
  <c r="G872" i="4"/>
  <c r="F872" i="4"/>
  <c r="E872" i="4"/>
  <c r="G871" i="4"/>
  <c r="F871" i="4"/>
  <c r="E871" i="4"/>
  <c r="G870" i="4"/>
  <c r="F870" i="4"/>
  <c r="E870" i="4"/>
  <c r="G869" i="4"/>
  <c r="F869" i="4"/>
  <c r="E869" i="4"/>
  <c r="G868" i="4"/>
  <c r="F868" i="4"/>
  <c r="E868" i="4"/>
  <c r="G867" i="4"/>
  <c r="F867" i="4"/>
  <c r="E867" i="4"/>
  <c r="G866" i="4"/>
  <c r="F866" i="4"/>
  <c r="E866" i="4"/>
  <c r="G865" i="4"/>
  <c r="F865" i="4"/>
  <c r="E865" i="4"/>
  <c r="G864" i="4"/>
  <c r="F864" i="4"/>
  <c r="E864" i="4"/>
  <c r="G863" i="4"/>
  <c r="F863" i="4"/>
  <c r="E863" i="4"/>
  <c r="G862" i="4"/>
  <c r="F862" i="4"/>
  <c r="E862" i="4"/>
  <c r="G861" i="4"/>
  <c r="F861" i="4"/>
  <c r="E861" i="4"/>
  <c r="G860" i="4"/>
  <c r="F860" i="4"/>
  <c r="E860" i="4"/>
  <c r="G859" i="4"/>
  <c r="F859" i="4"/>
  <c r="E859" i="4"/>
  <c r="G858" i="4"/>
  <c r="F858" i="4"/>
  <c r="E858" i="4"/>
  <c r="G857" i="4"/>
  <c r="F857" i="4"/>
  <c r="E857" i="4"/>
  <c r="G856" i="4"/>
  <c r="F856" i="4"/>
  <c r="E856" i="4"/>
  <c r="G855" i="4"/>
  <c r="F855" i="4"/>
  <c r="E855" i="4"/>
  <c r="G854" i="4"/>
  <c r="F854" i="4"/>
  <c r="E854" i="4"/>
  <c r="G853" i="4"/>
  <c r="F853" i="4"/>
  <c r="E853" i="4"/>
  <c r="G852" i="4"/>
  <c r="F852" i="4"/>
  <c r="E852" i="4"/>
  <c r="G851" i="4"/>
  <c r="F851" i="4"/>
  <c r="E851" i="4"/>
  <c r="G850" i="4"/>
  <c r="F850" i="4"/>
  <c r="E850" i="4"/>
  <c r="G849" i="4"/>
  <c r="F849" i="4"/>
  <c r="E849" i="4"/>
  <c r="G848" i="4"/>
  <c r="F848" i="4"/>
  <c r="E848" i="4"/>
  <c r="G847" i="4"/>
  <c r="F847" i="4"/>
  <c r="E847" i="4"/>
  <c r="G846" i="4"/>
  <c r="F846" i="4"/>
  <c r="E846" i="4"/>
  <c r="G845" i="4"/>
  <c r="F845" i="4"/>
  <c r="E845" i="4"/>
  <c r="G844" i="4"/>
  <c r="F844" i="4"/>
  <c r="E844" i="4"/>
  <c r="G843" i="4"/>
  <c r="F843" i="4"/>
  <c r="E843" i="4"/>
  <c r="G842" i="4"/>
  <c r="F842" i="4"/>
  <c r="E842" i="4"/>
  <c r="G841" i="4"/>
  <c r="F841" i="4"/>
  <c r="E841" i="4"/>
  <c r="G840" i="4"/>
  <c r="F840" i="4"/>
  <c r="E840" i="4"/>
  <c r="G839" i="4"/>
  <c r="F839" i="4"/>
  <c r="E839" i="4"/>
  <c r="G838" i="4"/>
  <c r="F838" i="4"/>
  <c r="E838" i="4"/>
  <c r="G837" i="4"/>
  <c r="F837" i="4"/>
  <c r="E837" i="4"/>
  <c r="G836" i="4"/>
  <c r="F836" i="4"/>
  <c r="E836" i="4"/>
  <c r="G835" i="4"/>
  <c r="F835" i="4"/>
  <c r="E835" i="4"/>
  <c r="G834" i="4"/>
  <c r="F834" i="4"/>
  <c r="E834" i="4"/>
  <c r="G833" i="4"/>
  <c r="F833" i="4"/>
  <c r="E833" i="4"/>
  <c r="G832" i="4"/>
  <c r="F832" i="4"/>
  <c r="E832" i="4"/>
  <c r="G831" i="4"/>
  <c r="F831" i="4"/>
  <c r="E831" i="4"/>
  <c r="G830" i="4"/>
  <c r="F830" i="4"/>
  <c r="E830" i="4"/>
  <c r="G829" i="4"/>
  <c r="F829" i="4"/>
  <c r="E829" i="4"/>
  <c r="G828" i="4"/>
  <c r="F828" i="4"/>
  <c r="E828" i="4"/>
  <c r="G827" i="4"/>
  <c r="F827" i="4"/>
  <c r="E827" i="4"/>
  <c r="G826" i="4"/>
  <c r="F826" i="4"/>
  <c r="E826" i="4"/>
  <c r="G825" i="4"/>
  <c r="F825" i="4"/>
  <c r="E825" i="4"/>
  <c r="G824" i="4"/>
  <c r="F824" i="4"/>
  <c r="E824" i="4"/>
  <c r="G823" i="4"/>
  <c r="F823" i="4"/>
  <c r="E823" i="4"/>
  <c r="G822" i="4"/>
  <c r="F822" i="4"/>
  <c r="E822" i="4"/>
  <c r="G821" i="4"/>
  <c r="F821" i="4"/>
  <c r="E821" i="4"/>
  <c r="G820" i="4"/>
  <c r="F820" i="4"/>
  <c r="E820" i="4"/>
  <c r="G819" i="4"/>
  <c r="F819" i="4"/>
  <c r="E819" i="4"/>
  <c r="G818" i="4"/>
  <c r="F818" i="4"/>
  <c r="E818" i="4"/>
  <c r="G817" i="4"/>
  <c r="F817" i="4"/>
  <c r="E817" i="4"/>
  <c r="G816" i="4"/>
  <c r="F816" i="4"/>
  <c r="E816" i="4"/>
  <c r="G815" i="4"/>
  <c r="F815" i="4"/>
  <c r="E815" i="4"/>
  <c r="G814" i="4"/>
  <c r="F814" i="4"/>
  <c r="E814" i="4"/>
  <c r="G813" i="4"/>
  <c r="F813" i="4"/>
  <c r="E813" i="4"/>
  <c r="G812" i="4"/>
  <c r="F812" i="4"/>
  <c r="E812" i="4"/>
  <c r="G811" i="4"/>
  <c r="F811" i="4"/>
  <c r="E811" i="4"/>
  <c r="G810" i="4"/>
  <c r="F810" i="4"/>
  <c r="E810" i="4"/>
  <c r="G809" i="4"/>
  <c r="F809" i="4"/>
  <c r="E809" i="4"/>
  <c r="G808" i="4"/>
  <c r="F808" i="4"/>
  <c r="E808" i="4"/>
  <c r="G807" i="4"/>
  <c r="F807" i="4"/>
  <c r="E807" i="4"/>
  <c r="G806" i="4"/>
  <c r="F806" i="4"/>
  <c r="E806" i="4"/>
  <c r="G805" i="4"/>
  <c r="F805" i="4"/>
  <c r="E805" i="4"/>
  <c r="G804" i="4"/>
  <c r="F804" i="4"/>
  <c r="E804" i="4"/>
  <c r="G803" i="4"/>
  <c r="F803" i="4"/>
  <c r="E803" i="4"/>
  <c r="G802" i="4"/>
  <c r="F802" i="4"/>
  <c r="E802" i="4"/>
  <c r="G801" i="4"/>
  <c r="F801" i="4"/>
  <c r="E801" i="4"/>
  <c r="G800" i="4"/>
  <c r="F800" i="4"/>
  <c r="E800" i="4"/>
  <c r="G799" i="4"/>
  <c r="F799" i="4"/>
  <c r="E799" i="4"/>
  <c r="G798" i="4"/>
  <c r="F798" i="4"/>
  <c r="E798" i="4"/>
  <c r="G797" i="4"/>
  <c r="F797" i="4"/>
  <c r="E797" i="4"/>
  <c r="G796" i="4"/>
  <c r="F796" i="4"/>
  <c r="E796" i="4"/>
  <c r="G795" i="4"/>
  <c r="F795" i="4"/>
  <c r="E795" i="4"/>
  <c r="G794" i="4"/>
  <c r="F794" i="4"/>
  <c r="E794" i="4"/>
  <c r="G793" i="4"/>
  <c r="F793" i="4"/>
  <c r="E793" i="4"/>
  <c r="G792" i="4"/>
  <c r="F792" i="4"/>
  <c r="E792" i="4"/>
  <c r="G791" i="4"/>
  <c r="F791" i="4"/>
  <c r="E791" i="4"/>
  <c r="G790" i="4"/>
  <c r="F790" i="4"/>
  <c r="E790" i="4"/>
  <c r="G789" i="4"/>
  <c r="F789" i="4"/>
  <c r="E789" i="4"/>
  <c r="G788" i="4"/>
  <c r="F788" i="4"/>
  <c r="E788" i="4"/>
  <c r="G787" i="4"/>
  <c r="F787" i="4"/>
  <c r="E787" i="4"/>
  <c r="G786" i="4"/>
  <c r="F786" i="4"/>
  <c r="E786" i="4"/>
  <c r="G785" i="4"/>
  <c r="F785" i="4"/>
  <c r="E785" i="4"/>
  <c r="G784" i="4"/>
  <c r="F784" i="4"/>
  <c r="E784" i="4"/>
  <c r="G783" i="4"/>
  <c r="F783" i="4"/>
  <c r="E783" i="4"/>
  <c r="G782" i="4"/>
  <c r="F782" i="4"/>
  <c r="E782" i="4"/>
  <c r="G781" i="4"/>
  <c r="F781" i="4"/>
  <c r="E781" i="4"/>
  <c r="G780" i="4"/>
  <c r="F780" i="4"/>
  <c r="E780" i="4"/>
  <c r="G779" i="4"/>
  <c r="F779" i="4"/>
  <c r="E779" i="4"/>
  <c r="G778" i="4"/>
  <c r="F778" i="4"/>
  <c r="E778" i="4"/>
  <c r="G777" i="4"/>
  <c r="F777" i="4"/>
  <c r="E777" i="4"/>
  <c r="G776" i="4"/>
  <c r="F776" i="4"/>
  <c r="E776" i="4"/>
  <c r="G775" i="4"/>
  <c r="F775" i="4"/>
  <c r="E775" i="4"/>
  <c r="G774" i="4"/>
  <c r="F774" i="4"/>
  <c r="E774" i="4"/>
  <c r="G773" i="4"/>
  <c r="F773" i="4"/>
  <c r="E773" i="4"/>
  <c r="G772" i="4"/>
  <c r="F772" i="4"/>
  <c r="E772" i="4"/>
  <c r="G771" i="4"/>
  <c r="F771" i="4"/>
  <c r="E771" i="4"/>
  <c r="G770" i="4"/>
  <c r="F770" i="4"/>
  <c r="E770" i="4"/>
  <c r="G769" i="4"/>
  <c r="F769" i="4"/>
  <c r="E769" i="4"/>
  <c r="G768" i="4"/>
  <c r="F768" i="4"/>
  <c r="E768" i="4"/>
  <c r="G767" i="4"/>
  <c r="F767" i="4"/>
  <c r="E767" i="4"/>
  <c r="G766" i="4"/>
  <c r="F766" i="4"/>
  <c r="E766" i="4"/>
  <c r="G765" i="4"/>
  <c r="F765" i="4"/>
  <c r="E765" i="4"/>
  <c r="G764" i="4"/>
  <c r="F764" i="4"/>
  <c r="E764" i="4"/>
  <c r="G763" i="4"/>
  <c r="F763" i="4"/>
  <c r="E763" i="4"/>
  <c r="G762" i="4"/>
  <c r="F762" i="4"/>
  <c r="E762" i="4"/>
  <c r="G761" i="4"/>
  <c r="F761" i="4"/>
  <c r="E761" i="4"/>
  <c r="G760" i="4"/>
  <c r="F760" i="4"/>
  <c r="E760" i="4"/>
  <c r="G759" i="4"/>
  <c r="F759" i="4"/>
  <c r="E759" i="4"/>
  <c r="G758" i="4"/>
  <c r="F758" i="4"/>
  <c r="E758" i="4"/>
  <c r="G757" i="4"/>
  <c r="F757" i="4"/>
  <c r="E757" i="4"/>
  <c r="G756" i="4"/>
  <c r="F756" i="4"/>
  <c r="E756" i="4"/>
  <c r="G755" i="4"/>
  <c r="F755" i="4"/>
  <c r="E755" i="4"/>
  <c r="G754" i="4"/>
  <c r="F754" i="4"/>
  <c r="E754" i="4"/>
  <c r="G753" i="4"/>
  <c r="F753" i="4"/>
  <c r="E753" i="4"/>
  <c r="G752" i="4"/>
  <c r="F752" i="4"/>
  <c r="E752" i="4"/>
  <c r="G751" i="4"/>
  <c r="F751" i="4"/>
  <c r="E751" i="4"/>
  <c r="G750" i="4"/>
  <c r="F750" i="4"/>
  <c r="E750" i="4"/>
  <c r="G749" i="4"/>
  <c r="F749" i="4"/>
  <c r="E749" i="4"/>
  <c r="G748" i="4"/>
  <c r="F748" i="4"/>
  <c r="E748" i="4"/>
  <c r="G747" i="4"/>
  <c r="F747" i="4"/>
  <c r="E747" i="4"/>
  <c r="G746" i="4"/>
  <c r="F746" i="4"/>
  <c r="E746" i="4"/>
  <c r="G745" i="4"/>
  <c r="F745" i="4"/>
  <c r="E745" i="4"/>
  <c r="G744" i="4"/>
  <c r="F744" i="4"/>
  <c r="E744" i="4"/>
  <c r="G743" i="4"/>
  <c r="F743" i="4"/>
  <c r="E743" i="4"/>
  <c r="G742" i="4"/>
  <c r="F742" i="4"/>
  <c r="E742" i="4"/>
  <c r="G741" i="4"/>
  <c r="F741" i="4"/>
  <c r="E741" i="4"/>
  <c r="G740" i="4"/>
  <c r="F740" i="4"/>
  <c r="E740" i="4"/>
  <c r="G739" i="4"/>
  <c r="F739" i="4"/>
  <c r="E739" i="4"/>
  <c r="G738" i="4"/>
  <c r="F738" i="4"/>
  <c r="E738" i="4"/>
  <c r="G737" i="4"/>
  <c r="F737" i="4"/>
  <c r="E737" i="4"/>
  <c r="G736" i="4"/>
  <c r="F736" i="4"/>
  <c r="E736" i="4"/>
  <c r="G735" i="4"/>
  <c r="F735" i="4"/>
  <c r="E735" i="4"/>
  <c r="G734" i="4"/>
  <c r="F734" i="4"/>
  <c r="E734" i="4"/>
  <c r="G733" i="4"/>
  <c r="F733" i="4"/>
  <c r="E733" i="4"/>
  <c r="G732" i="4"/>
  <c r="F732" i="4"/>
  <c r="E732" i="4"/>
  <c r="G731" i="4"/>
  <c r="F731" i="4"/>
  <c r="E731" i="4"/>
  <c r="G730" i="4"/>
  <c r="F730" i="4"/>
  <c r="E730" i="4"/>
  <c r="G729" i="4"/>
  <c r="F729" i="4"/>
  <c r="E729" i="4"/>
  <c r="G728" i="4"/>
  <c r="F728" i="4"/>
  <c r="E728" i="4"/>
  <c r="G727" i="4"/>
  <c r="F727" i="4"/>
  <c r="E727" i="4"/>
  <c r="G726" i="4"/>
  <c r="F726" i="4"/>
  <c r="E726" i="4"/>
  <c r="G725" i="4"/>
  <c r="F725" i="4"/>
  <c r="E725" i="4"/>
  <c r="G724" i="4"/>
  <c r="F724" i="4"/>
  <c r="E724" i="4"/>
  <c r="G723" i="4"/>
  <c r="F723" i="4"/>
  <c r="E723" i="4"/>
  <c r="G722" i="4"/>
  <c r="F722" i="4"/>
  <c r="E722" i="4"/>
  <c r="G721" i="4"/>
  <c r="F721" i="4"/>
  <c r="E721" i="4"/>
  <c r="G720" i="4"/>
  <c r="F720" i="4"/>
  <c r="E720" i="4"/>
  <c r="G719" i="4"/>
  <c r="F719" i="4"/>
  <c r="E719" i="4"/>
  <c r="G718" i="4"/>
  <c r="F718" i="4"/>
  <c r="E718" i="4"/>
  <c r="G717" i="4"/>
  <c r="F717" i="4"/>
  <c r="E717" i="4"/>
  <c r="G716" i="4"/>
  <c r="F716" i="4"/>
  <c r="E716" i="4"/>
  <c r="G715" i="4"/>
  <c r="F715" i="4"/>
  <c r="E715" i="4"/>
  <c r="G714" i="4"/>
  <c r="F714" i="4"/>
  <c r="E714" i="4"/>
  <c r="G713" i="4"/>
  <c r="F713" i="4"/>
  <c r="E713" i="4"/>
  <c r="G712" i="4"/>
  <c r="F712" i="4"/>
  <c r="E712" i="4"/>
  <c r="G711" i="4"/>
  <c r="F711" i="4"/>
  <c r="E711" i="4"/>
  <c r="G710" i="4"/>
  <c r="F710" i="4"/>
  <c r="E710" i="4"/>
  <c r="G709" i="4"/>
  <c r="F709" i="4"/>
  <c r="E709" i="4"/>
  <c r="G708" i="4"/>
  <c r="F708" i="4"/>
  <c r="E708" i="4"/>
  <c r="G707" i="4"/>
  <c r="F707" i="4"/>
  <c r="E707" i="4"/>
  <c r="G706" i="4"/>
  <c r="F706" i="4"/>
  <c r="E706" i="4"/>
  <c r="G705" i="4"/>
  <c r="F705" i="4"/>
  <c r="E705" i="4"/>
  <c r="G704" i="4"/>
  <c r="F704" i="4"/>
  <c r="E704" i="4"/>
  <c r="G703" i="4"/>
  <c r="F703" i="4"/>
  <c r="E703" i="4"/>
  <c r="G702" i="4"/>
  <c r="F702" i="4"/>
  <c r="E702" i="4"/>
  <c r="G701" i="4"/>
  <c r="F701" i="4"/>
  <c r="E701" i="4"/>
  <c r="G700" i="4"/>
  <c r="F700" i="4"/>
  <c r="E700" i="4"/>
  <c r="G699" i="4"/>
  <c r="F699" i="4"/>
  <c r="E699" i="4"/>
  <c r="G698" i="4"/>
  <c r="F698" i="4"/>
  <c r="E698" i="4"/>
  <c r="G697" i="4"/>
  <c r="F697" i="4"/>
  <c r="E697" i="4"/>
  <c r="G696" i="4"/>
  <c r="F696" i="4"/>
  <c r="E696" i="4"/>
  <c r="G695" i="4"/>
  <c r="F695" i="4"/>
  <c r="E695" i="4"/>
  <c r="G694" i="4"/>
  <c r="F694" i="4"/>
  <c r="E694" i="4"/>
  <c r="G693" i="4"/>
  <c r="F693" i="4"/>
  <c r="E693" i="4"/>
  <c r="G692" i="4"/>
  <c r="F692" i="4"/>
  <c r="E692" i="4"/>
  <c r="G691" i="4"/>
  <c r="F691" i="4"/>
  <c r="E691" i="4"/>
  <c r="G690" i="4"/>
  <c r="F690" i="4"/>
  <c r="E690" i="4"/>
  <c r="G689" i="4"/>
  <c r="F689" i="4"/>
  <c r="E689" i="4"/>
  <c r="G688" i="4"/>
  <c r="F688" i="4"/>
  <c r="E688" i="4"/>
  <c r="G687" i="4"/>
  <c r="F687" i="4"/>
  <c r="E687" i="4"/>
  <c r="G686" i="4"/>
  <c r="F686" i="4"/>
  <c r="E686" i="4"/>
  <c r="G685" i="4"/>
  <c r="F685" i="4"/>
  <c r="E685" i="4"/>
  <c r="G684" i="4"/>
  <c r="F684" i="4"/>
  <c r="E684" i="4"/>
  <c r="G683" i="4"/>
  <c r="F683" i="4"/>
  <c r="E683" i="4"/>
  <c r="G682" i="4"/>
  <c r="F682" i="4"/>
  <c r="E682" i="4"/>
  <c r="G681" i="4"/>
  <c r="F681" i="4"/>
  <c r="E681" i="4"/>
  <c r="G680" i="4"/>
  <c r="F680" i="4"/>
  <c r="E680" i="4"/>
  <c r="G679" i="4"/>
  <c r="F679" i="4"/>
  <c r="E679" i="4"/>
  <c r="G678" i="4"/>
  <c r="F678" i="4"/>
  <c r="E678" i="4"/>
  <c r="G677" i="4"/>
  <c r="F677" i="4"/>
  <c r="E677" i="4"/>
  <c r="G676" i="4"/>
  <c r="F676" i="4"/>
  <c r="E676" i="4"/>
  <c r="G675" i="4"/>
  <c r="F675" i="4"/>
  <c r="E675" i="4"/>
  <c r="G674" i="4"/>
  <c r="F674" i="4"/>
  <c r="E674" i="4"/>
  <c r="G673" i="4"/>
  <c r="F673" i="4"/>
  <c r="E673" i="4"/>
  <c r="G672" i="4"/>
  <c r="F672" i="4"/>
  <c r="E672" i="4"/>
  <c r="G671" i="4"/>
  <c r="F671" i="4"/>
  <c r="E671" i="4"/>
  <c r="G670" i="4"/>
  <c r="F670" i="4"/>
  <c r="E670" i="4"/>
  <c r="G669" i="4"/>
  <c r="F669" i="4"/>
  <c r="E669" i="4"/>
  <c r="G668" i="4"/>
  <c r="F668" i="4"/>
  <c r="E668" i="4"/>
  <c r="G667" i="4"/>
  <c r="F667" i="4"/>
  <c r="E667" i="4"/>
  <c r="G666" i="4"/>
  <c r="F666" i="4"/>
  <c r="E666" i="4"/>
  <c r="G665" i="4"/>
  <c r="F665" i="4"/>
  <c r="E665" i="4"/>
  <c r="G664" i="4"/>
  <c r="F664" i="4"/>
  <c r="E664" i="4"/>
  <c r="G663" i="4"/>
  <c r="F663" i="4"/>
  <c r="E663" i="4"/>
  <c r="G662" i="4"/>
  <c r="F662" i="4"/>
  <c r="E662" i="4"/>
  <c r="G661" i="4"/>
  <c r="F661" i="4"/>
  <c r="E661" i="4"/>
  <c r="G660" i="4"/>
  <c r="F660" i="4"/>
  <c r="E660" i="4"/>
  <c r="G659" i="4"/>
  <c r="F659" i="4"/>
  <c r="E659" i="4"/>
  <c r="G658" i="4"/>
  <c r="F658" i="4"/>
  <c r="E658" i="4"/>
  <c r="G657" i="4"/>
  <c r="F657" i="4"/>
  <c r="E657" i="4"/>
  <c r="G656" i="4"/>
  <c r="F656" i="4"/>
  <c r="E656" i="4"/>
  <c r="G655" i="4"/>
  <c r="F655" i="4"/>
  <c r="E655" i="4"/>
  <c r="G654" i="4"/>
  <c r="F654" i="4"/>
  <c r="E654" i="4"/>
  <c r="G653" i="4"/>
  <c r="F653" i="4"/>
  <c r="E653" i="4"/>
  <c r="G652" i="4"/>
  <c r="F652" i="4"/>
  <c r="E652" i="4"/>
  <c r="G651" i="4"/>
  <c r="F651" i="4"/>
  <c r="E651" i="4"/>
  <c r="G650" i="4"/>
  <c r="F650" i="4"/>
  <c r="E650" i="4"/>
  <c r="G649" i="4"/>
  <c r="F649" i="4"/>
  <c r="E649" i="4"/>
  <c r="G648" i="4"/>
  <c r="F648" i="4"/>
  <c r="E648" i="4"/>
  <c r="G647" i="4"/>
  <c r="F647" i="4"/>
  <c r="E647" i="4"/>
  <c r="G646" i="4"/>
  <c r="F646" i="4"/>
  <c r="E646" i="4"/>
  <c r="G645" i="4"/>
  <c r="F645" i="4"/>
  <c r="E645" i="4"/>
  <c r="G644" i="4"/>
  <c r="F644" i="4"/>
  <c r="E644" i="4"/>
  <c r="G643" i="4"/>
  <c r="F643" i="4"/>
  <c r="E643" i="4"/>
  <c r="G642" i="4"/>
  <c r="F642" i="4"/>
  <c r="E642" i="4"/>
  <c r="G641" i="4"/>
  <c r="F641" i="4"/>
  <c r="E641" i="4"/>
  <c r="G640" i="4"/>
  <c r="F640" i="4"/>
  <c r="E640" i="4"/>
  <c r="G639" i="4"/>
  <c r="F639" i="4"/>
  <c r="E639" i="4"/>
  <c r="G638" i="4"/>
  <c r="F638" i="4"/>
  <c r="E638" i="4"/>
  <c r="G637" i="4"/>
  <c r="F637" i="4"/>
  <c r="E637" i="4"/>
  <c r="G636" i="4"/>
  <c r="F636" i="4"/>
  <c r="E636" i="4"/>
  <c r="G635" i="4"/>
  <c r="F635" i="4"/>
  <c r="E635" i="4"/>
  <c r="G634" i="4"/>
  <c r="F634" i="4"/>
  <c r="E634" i="4"/>
  <c r="G633" i="4"/>
  <c r="F633" i="4"/>
  <c r="E633" i="4"/>
  <c r="G632" i="4"/>
  <c r="F632" i="4"/>
  <c r="E632" i="4"/>
  <c r="G631" i="4"/>
  <c r="F631" i="4"/>
  <c r="E631" i="4"/>
  <c r="G630" i="4"/>
  <c r="F630" i="4"/>
  <c r="E630" i="4"/>
  <c r="G629" i="4"/>
  <c r="F629" i="4"/>
  <c r="E629" i="4"/>
  <c r="G628" i="4"/>
  <c r="F628" i="4"/>
  <c r="E628" i="4"/>
  <c r="G627" i="4"/>
  <c r="F627" i="4"/>
  <c r="E627" i="4"/>
  <c r="G626" i="4"/>
  <c r="F626" i="4"/>
  <c r="E626" i="4"/>
  <c r="G625" i="4"/>
  <c r="F625" i="4"/>
  <c r="E625" i="4"/>
  <c r="G624" i="4"/>
  <c r="F624" i="4"/>
  <c r="E624" i="4"/>
  <c r="G623" i="4"/>
  <c r="F623" i="4"/>
  <c r="E623" i="4"/>
  <c r="G622" i="4"/>
  <c r="F622" i="4"/>
  <c r="E622" i="4"/>
  <c r="G621" i="4"/>
  <c r="F621" i="4"/>
  <c r="E621" i="4"/>
  <c r="G620" i="4"/>
  <c r="F620" i="4"/>
  <c r="E620" i="4"/>
  <c r="G619" i="4"/>
  <c r="F619" i="4"/>
  <c r="E619" i="4"/>
  <c r="G618" i="4"/>
  <c r="F618" i="4"/>
  <c r="E618" i="4"/>
  <c r="G617" i="4"/>
  <c r="F617" i="4"/>
  <c r="E617" i="4"/>
  <c r="G616" i="4"/>
  <c r="F616" i="4"/>
  <c r="E616" i="4"/>
  <c r="G615" i="4"/>
  <c r="F615" i="4"/>
  <c r="E615" i="4"/>
  <c r="G614" i="4"/>
  <c r="F614" i="4"/>
  <c r="E614" i="4"/>
  <c r="G613" i="4"/>
  <c r="F613" i="4"/>
  <c r="E613" i="4"/>
  <c r="G612" i="4"/>
  <c r="F612" i="4"/>
  <c r="E612" i="4"/>
  <c r="G611" i="4"/>
  <c r="F611" i="4"/>
  <c r="E611" i="4"/>
  <c r="G610" i="4"/>
  <c r="F610" i="4"/>
  <c r="E610" i="4"/>
  <c r="G609" i="4"/>
  <c r="F609" i="4"/>
  <c r="E609" i="4"/>
  <c r="G608" i="4"/>
  <c r="F608" i="4"/>
  <c r="E608" i="4"/>
  <c r="G607" i="4"/>
  <c r="F607" i="4"/>
  <c r="E607" i="4"/>
  <c r="G606" i="4"/>
  <c r="F606" i="4"/>
  <c r="E606" i="4"/>
  <c r="G605" i="4"/>
  <c r="F605" i="4"/>
  <c r="E605" i="4"/>
  <c r="G604" i="4"/>
  <c r="F604" i="4"/>
  <c r="E604" i="4"/>
  <c r="G603" i="4"/>
  <c r="F603" i="4"/>
  <c r="E603" i="4"/>
  <c r="G602" i="4"/>
  <c r="F602" i="4"/>
  <c r="E602" i="4"/>
  <c r="G601" i="4"/>
  <c r="F601" i="4"/>
  <c r="E601" i="4"/>
  <c r="G600" i="4"/>
  <c r="F600" i="4"/>
  <c r="E600" i="4"/>
  <c r="G599" i="4"/>
  <c r="F599" i="4"/>
  <c r="E599" i="4"/>
  <c r="G598" i="4"/>
  <c r="F598" i="4"/>
  <c r="E598" i="4"/>
  <c r="G597" i="4"/>
  <c r="F597" i="4"/>
  <c r="E597" i="4"/>
  <c r="G596" i="4"/>
  <c r="F596" i="4"/>
  <c r="E596" i="4"/>
  <c r="G595" i="4"/>
  <c r="F595" i="4"/>
  <c r="E595" i="4"/>
  <c r="G594" i="4"/>
  <c r="F594" i="4"/>
  <c r="E594" i="4"/>
  <c r="G593" i="4"/>
  <c r="F593" i="4"/>
  <c r="E593" i="4"/>
  <c r="G592" i="4"/>
  <c r="F592" i="4"/>
  <c r="E592" i="4"/>
  <c r="G591" i="4"/>
  <c r="F591" i="4"/>
  <c r="E591" i="4"/>
  <c r="G590" i="4"/>
  <c r="F590" i="4"/>
  <c r="E590" i="4"/>
  <c r="G589" i="4"/>
  <c r="F589" i="4"/>
  <c r="E589" i="4"/>
  <c r="G588" i="4"/>
  <c r="F588" i="4"/>
  <c r="E588" i="4"/>
  <c r="G587" i="4"/>
  <c r="F587" i="4"/>
  <c r="E587" i="4"/>
  <c r="G586" i="4"/>
  <c r="F586" i="4"/>
  <c r="E586" i="4"/>
  <c r="G585" i="4"/>
  <c r="F585" i="4"/>
  <c r="E585" i="4"/>
  <c r="G584" i="4"/>
  <c r="F584" i="4"/>
  <c r="E584" i="4"/>
  <c r="G583" i="4"/>
  <c r="F583" i="4"/>
  <c r="E583" i="4"/>
  <c r="G582" i="4"/>
  <c r="F582" i="4"/>
  <c r="E582" i="4"/>
  <c r="G581" i="4"/>
  <c r="F581" i="4"/>
  <c r="E581" i="4"/>
  <c r="G580" i="4"/>
  <c r="F580" i="4"/>
  <c r="E580" i="4"/>
  <c r="G579" i="4"/>
  <c r="F579" i="4"/>
  <c r="E579" i="4"/>
  <c r="G578" i="4"/>
  <c r="F578" i="4"/>
  <c r="E578" i="4"/>
  <c r="G577" i="4"/>
  <c r="F577" i="4"/>
  <c r="E577" i="4"/>
  <c r="G576" i="4"/>
  <c r="F576" i="4"/>
  <c r="E576" i="4"/>
  <c r="G575" i="4"/>
  <c r="F575" i="4"/>
  <c r="E575" i="4"/>
  <c r="G574" i="4"/>
  <c r="F574" i="4"/>
  <c r="E574" i="4"/>
  <c r="G573" i="4"/>
  <c r="F573" i="4"/>
  <c r="E573" i="4"/>
  <c r="G572" i="4"/>
  <c r="F572" i="4"/>
  <c r="E572" i="4"/>
  <c r="G571" i="4"/>
  <c r="F571" i="4"/>
  <c r="E571" i="4"/>
  <c r="G570" i="4"/>
  <c r="F570" i="4"/>
  <c r="E570" i="4"/>
  <c r="G569" i="4"/>
  <c r="F569" i="4"/>
  <c r="E569" i="4"/>
  <c r="G568" i="4"/>
  <c r="F568" i="4"/>
  <c r="E568" i="4"/>
  <c r="G567" i="4"/>
  <c r="F567" i="4"/>
  <c r="E567" i="4"/>
  <c r="G566" i="4"/>
  <c r="F566" i="4"/>
  <c r="E566" i="4"/>
  <c r="G565" i="4"/>
  <c r="F565" i="4"/>
  <c r="E565" i="4"/>
  <c r="G564" i="4"/>
  <c r="F564" i="4"/>
  <c r="E564" i="4"/>
  <c r="G563" i="4"/>
  <c r="F563" i="4"/>
  <c r="E563" i="4"/>
  <c r="G562" i="4"/>
  <c r="F562" i="4"/>
  <c r="E562" i="4"/>
  <c r="G561" i="4"/>
  <c r="F561" i="4"/>
  <c r="E561" i="4"/>
  <c r="G560" i="4"/>
  <c r="F560" i="4"/>
  <c r="E560" i="4"/>
  <c r="G559" i="4"/>
  <c r="F559" i="4"/>
  <c r="E559" i="4"/>
  <c r="G558" i="4"/>
  <c r="F558" i="4"/>
  <c r="E558" i="4"/>
  <c r="G557" i="4"/>
  <c r="F557" i="4"/>
  <c r="E557" i="4"/>
  <c r="G556" i="4"/>
  <c r="F556" i="4"/>
  <c r="E556" i="4"/>
  <c r="G555" i="4"/>
  <c r="F555" i="4"/>
  <c r="E555" i="4"/>
  <c r="G554" i="4"/>
  <c r="F554" i="4"/>
  <c r="E554" i="4"/>
  <c r="G553" i="4"/>
  <c r="F553" i="4"/>
  <c r="E553" i="4"/>
  <c r="G552" i="4"/>
  <c r="F552" i="4"/>
  <c r="E552" i="4"/>
  <c r="G551" i="4"/>
  <c r="F551" i="4"/>
  <c r="E551" i="4"/>
  <c r="G550" i="4"/>
  <c r="F550" i="4"/>
  <c r="E550" i="4"/>
  <c r="G549" i="4"/>
  <c r="F549" i="4"/>
  <c r="E549" i="4"/>
  <c r="G548" i="4"/>
  <c r="F548" i="4"/>
  <c r="E548" i="4"/>
  <c r="G547" i="4"/>
  <c r="F547" i="4"/>
  <c r="E547" i="4"/>
  <c r="G546" i="4"/>
  <c r="F546" i="4"/>
  <c r="E546" i="4"/>
  <c r="G545" i="4"/>
  <c r="F545" i="4"/>
  <c r="E545" i="4"/>
  <c r="G544" i="4"/>
  <c r="F544" i="4"/>
  <c r="E544" i="4"/>
  <c r="G543" i="4"/>
  <c r="F543" i="4"/>
  <c r="E543" i="4"/>
  <c r="G542" i="4"/>
  <c r="F542" i="4"/>
  <c r="E542" i="4"/>
  <c r="G541" i="4"/>
  <c r="F541" i="4"/>
  <c r="E541" i="4"/>
  <c r="G540" i="4"/>
  <c r="F540" i="4"/>
  <c r="E540" i="4"/>
  <c r="G539" i="4"/>
  <c r="F539" i="4"/>
  <c r="E539" i="4"/>
  <c r="G538" i="4"/>
  <c r="F538" i="4"/>
  <c r="E538" i="4"/>
  <c r="G537" i="4"/>
  <c r="F537" i="4"/>
  <c r="E537" i="4"/>
  <c r="G536" i="4"/>
  <c r="F536" i="4"/>
  <c r="E536" i="4"/>
  <c r="G535" i="4"/>
  <c r="F535" i="4"/>
  <c r="E535" i="4"/>
  <c r="G534" i="4"/>
  <c r="F534" i="4"/>
  <c r="E534" i="4"/>
  <c r="G533" i="4"/>
  <c r="F533" i="4"/>
  <c r="E533" i="4"/>
  <c r="G532" i="4"/>
  <c r="F532" i="4"/>
  <c r="E532" i="4"/>
  <c r="G531" i="4"/>
  <c r="F531" i="4"/>
  <c r="E531" i="4"/>
  <c r="G530" i="4"/>
  <c r="F530" i="4"/>
  <c r="E530" i="4"/>
  <c r="G529" i="4"/>
  <c r="F529" i="4"/>
  <c r="E529" i="4"/>
  <c r="G528" i="4"/>
  <c r="F528" i="4"/>
  <c r="E528" i="4"/>
  <c r="G527" i="4"/>
  <c r="F527" i="4"/>
  <c r="E527" i="4"/>
  <c r="G526" i="4"/>
  <c r="F526" i="4"/>
  <c r="E526" i="4"/>
  <c r="G525" i="4"/>
  <c r="F525" i="4"/>
  <c r="E525" i="4"/>
  <c r="G524" i="4"/>
  <c r="F524" i="4"/>
  <c r="E524" i="4"/>
  <c r="G523" i="4"/>
  <c r="F523" i="4"/>
  <c r="E523" i="4"/>
  <c r="G522" i="4"/>
  <c r="F522" i="4"/>
  <c r="E522" i="4"/>
  <c r="G521" i="4"/>
  <c r="F521" i="4"/>
  <c r="E521" i="4"/>
  <c r="G520" i="4"/>
  <c r="F520" i="4"/>
  <c r="E520" i="4"/>
  <c r="G519" i="4"/>
  <c r="F519" i="4"/>
  <c r="E519" i="4"/>
  <c r="G518" i="4"/>
  <c r="F518" i="4"/>
  <c r="E518" i="4"/>
  <c r="G517" i="4"/>
  <c r="F517" i="4"/>
  <c r="E517" i="4"/>
  <c r="G516" i="4"/>
  <c r="F516" i="4"/>
  <c r="E516" i="4"/>
  <c r="G515" i="4"/>
  <c r="F515" i="4"/>
  <c r="E515" i="4"/>
  <c r="G514" i="4"/>
  <c r="F514" i="4"/>
  <c r="E514" i="4"/>
  <c r="G513" i="4"/>
  <c r="F513" i="4"/>
  <c r="E513" i="4"/>
  <c r="G512" i="4"/>
  <c r="F512" i="4"/>
  <c r="E512" i="4"/>
  <c r="G511" i="4"/>
  <c r="F511" i="4"/>
  <c r="E511" i="4"/>
  <c r="G510" i="4"/>
  <c r="F510" i="4"/>
  <c r="E510" i="4"/>
  <c r="G509" i="4"/>
  <c r="F509" i="4"/>
  <c r="E509" i="4"/>
  <c r="G508" i="4"/>
  <c r="F508" i="4"/>
  <c r="E508" i="4"/>
  <c r="G507" i="4"/>
  <c r="F507" i="4"/>
  <c r="E507" i="4"/>
  <c r="G506" i="4"/>
  <c r="F506" i="4"/>
  <c r="E506" i="4"/>
  <c r="G505" i="4"/>
  <c r="F505" i="4"/>
  <c r="E505" i="4"/>
  <c r="G504" i="4"/>
  <c r="F504" i="4"/>
  <c r="E504" i="4"/>
  <c r="G503" i="4"/>
  <c r="F503" i="4"/>
  <c r="E503" i="4"/>
  <c r="G502" i="4"/>
  <c r="F502" i="4"/>
  <c r="E502" i="4"/>
  <c r="G501" i="4"/>
  <c r="F501" i="4"/>
  <c r="E501" i="4"/>
  <c r="G500" i="4"/>
  <c r="F500" i="4"/>
  <c r="E500" i="4"/>
  <c r="G499" i="4"/>
  <c r="F499" i="4"/>
  <c r="E499" i="4"/>
  <c r="G498" i="4"/>
  <c r="F498" i="4"/>
  <c r="E498" i="4"/>
  <c r="G497" i="4"/>
  <c r="F497" i="4"/>
  <c r="E497" i="4"/>
  <c r="G496" i="4"/>
  <c r="F496" i="4"/>
  <c r="E496" i="4"/>
  <c r="G495" i="4"/>
  <c r="F495" i="4"/>
  <c r="E495" i="4"/>
  <c r="G494" i="4"/>
  <c r="F494" i="4"/>
  <c r="E494" i="4"/>
  <c r="G493" i="4"/>
  <c r="F493" i="4"/>
  <c r="E493" i="4"/>
  <c r="G492" i="4"/>
  <c r="F492" i="4"/>
  <c r="E492" i="4"/>
  <c r="G491" i="4"/>
  <c r="F491" i="4"/>
  <c r="E491" i="4"/>
  <c r="G490" i="4"/>
  <c r="F490" i="4"/>
  <c r="E490" i="4"/>
  <c r="G489" i="4"/>
  <c r="F489" i="4"/>
  <c r="E489" i="4"/>
  <c r="G488" i="4"/>
  <c r="F488" i="4"/>
  <c r="E488" i="4"/>
  <c r="G487" i="4"/>
  <c r="F487" i="4"/>
  <c r="E487" i="4"/>
  <c r="G486" i="4"/>
  <c r="F486" i="4"/>
  <c r="E486" i="4"/>
  <c r="G485" i="4"/>
  <c r="F485" i="4"/>
  <c r="E485" i="4"/>
  <c r="G484" i="4"/>
  <c r="F484" i="4"/>
  <c r="E484" i="4"/>
  <c r="G483" i="4"/>
  <c r="F483" i="4"/>
  <c r="E483" i="4"/>
  <c r="G482" i="4"/>
  <c r="F482" i="4"/>
  <c r="E482" i="4"/>
  <c r="G481" i="4"/>
  <c r="F481" i="4"/>
  <c r="E481" i="4"/>
  <c r="G480" i="4"/>
  <c r="F480" i="4"/>
  <c r="E480" i="4"/>
  <c r="G479" i="4"/>
  <c r="F479" i="4"/>
  <c r="E479" i="4"/>
  <c r="G478" i="4"/>
  <c r="F478" i="4"/>
  <c r="E478" i="4"/>
  <c r="G477" i="4"/>
  <c r="F477" i="4"/>
  <c r="E477" i="4"/>
  <c r="G476" i="4"/>
  <c r="F476" i="4"/>
  <c r="E476" i="4"/>
  <c r="G475" i="4"/>
  <c r="F475" i="4"/>
  <c r="E475" i="4"/>
  <c r="G474" i="4"/>
  <c r="F474" i="4"/>
  <c r="E474" i="4"/>
  <c r="G473" i="4"/>
  <c r="F473" i="4"/>
  <c r="E473" i="4"/>
  <c r="G472" i="4"/>
  <c r="F472" i="4"/>
  <c r="E472" i="4"/>
  <c r="G471" i="4"/>
  <c r="F471" i="4"/>
  <c r="E471" i="4"/>
  <c r="G470" i="4"/>
  <c r="F470" i="4"/>
  <c r="E470" i="4"/>
  <c r="G469" i="4"/>
  <c r="F469" i="4"/>
  <c r="E469" i="4"/>
  <c r="G468" i="4"/>
  <c r="F468" i="4"/>
  <c r="E468" i="4"/>
  <c r="G467" i="4"/>
  <c r="F467" i="4"/>
  <c r="E467" i="4"/>
  <c r="G466" i="4"/>
  <c r="F466" i="4"/>
  <c r="E466" i="4"/>
  <c r="G465" i="4"/>
  <c r="F465" i="4"/>
  <c r="E465" i="4"/>
  <c r="G464" i="4"/>
  <c r="F464" i="4"/>
  <c r="E464" i="4"/>
  <c r="G463" i="4"/>
  <c r="F463" i="4"/>
  <c r="E463" i="4"/>
  <c r="G462" i="4"/>
  <c r="F462" i="4"/>
  <c r="E462" i="4"/>
  <c r="G461" i="4"/>
  <c r="F461" i="4"/>
  <c r="E461" i="4"/>
  <c r="G460" i="4"/>
  <c r="F460" i="4"/>
  <c r="E460" i="4"/>
  <c r="G459" i="4"/>
  <c r="F459" i="4"/>
  <c r="E459" i="4"/>
  <c r="G458" i="4"/>
  <c r="F458" i="4"/>
  <c r="E458" i="4"/>
  <c r="G457" i="4"/>
  <c r="F457" i="4"/>
  <c r="E457" i="4"/>
  <c r="G456" i="4"/>
  <c r="F456" i="4"/>
  <c r="E456" i="4"/>
  <c r="G455" i="4"/>
  <c r="F455" i="4"/>
  <c r="E455" i="4"/>
  <c r="G454" i="4"/>
  <c r="F454" i="4"/>
  <c r="E454" i="4"/>
  <c r="G453" i="4"/>
  <c r="F453" i="4"/>
  <c r="E453" i="4"/>
  <c r="G452" i="4"/>
  <c r="F452" i="4"/>
  <c r="E452" i="4"/>
  <c r="G451" i="4"/>
  <c r="F451" i="4"/>
  <c r="E451" i="4"/>
  <c r="G450" i="4"/>
  <c r="F450" i="4"/>
  <c r="E450" i="4"/>
  <c r="G449" i="4"/>
  <c r="F449" i="4"/>
  <c r="E449" i="4"/>
  <c r="G448" i="4"/>
  <c r="F448" i="4"/>
  <c r="E448" i="4"/>
  <c r="G447" i="4"/>
  <c r="F447" i="4"/>
  <c r="E447" i="4"/>
  <c r="G446" i="4"/>
  <c r="F446" i="4"/>
  <c r="E446" i="4"/>
  <c r="G445" i="4"/>
  <c r="F445" i="4"/>
  <c r="E445" i="4"/>
  <c r="G444" i="4"/>
  <c r="F444" i="4"/>
  <c r="E444" i="4"/>
  <c r="G443" i="4"/>
  <c r="F443" i="4"/>
  <c r="E443" i="4"/>
  <c r="G442" i="4"/>
  <c r="F442" i="4"/>
  <c r="E442" i="4"/>
  <c r="G441" i="4"/>
  <c r="F441" i="4"/>
  <c r="E441" i="4"/>
  <c r="G440" i="4"/>
  <c r="F440" i="4"/>
  <c r="E440" i="4"/>
  <c r="G439" i="4"/>
  <c r="F439" i="4"/>
  <c r="E439" i="4"/>
  <c r="G438" i="4"/>
  <c r="F438" i="4"/>
  <c r="E438" i="4"/>
  <c r="G437" i="4"/>
  <c r="F437" i="4"/>
  <c r="E437" i="4"/>
  <c r="G436" i="4"/>
  <c r="F436" i="4"/>
  <c r="E436" i="4"/>
  <c r="G435" i="4"/>
  <c r="F435" i="4"/>
  <c r="E435" i="4"/>
  <c r="G434" i="4"/>
  <c r="F434" i="4"/>
  <c r="E434" i="4"/>
  <c r="G433" i="4"/>
  <c r="F433" i="4"/>
  <c r="E433" i="4"/>
  <c r="G432" i="4"/>
  <c r="F432" i="4"/>
  <c r="E432" i="4"/>
  <c r="G431" i="4"/>
  <c r="F431" i="4"/>
  <c r="E431" i="4"/>
  <c r="G430" i="4"/>
  <c r="F430" i="4"/>
  <c r="E430" i="4"/>
  <c r="G429" i="4"/>
  <c r="F429" i="4"/>
  <c r="E429" i="4"/>
  <c r="G428" i="4"/>
  <c r="F428" i="4"/>
  <c r="E428" i="4"/>
  <c r="G427" i="4"/>
  <c r="F427" i="4"/>
  <c r="E427" i="4"/>
  <c r="G426" i="4"/>
  <c r="F426" i="4"/>
  <c r="E426" i="4"/>
  <c r="G425" i="4"/>
  <c r="F425" i="4"/>
  <c r="E425" i="4"/>
  <c r="G424" i="4"/>
  <c r="F424" i="4"/>
  <c r="E424" i="4"/>
  <c r="G423" i="4"/>
  <c r="F423" i="4"/>
  <c r="E423" i="4"/>
  <c r="G422" i="4"/>
  <c r="F422" i="4"/>
  <c r="E422" i="4"/>
  <c r="G421" i="4"/>
  <c r="F421" i="4"/>
  <c r="E421" i="4"/>
  <c r="G420" i="4"/>
  <c r="F420" i="4"/>
  <c r="E420" i="4"/>
  <c r="G419" i="4"/>
  <c r="F419" i="4"/>
  <c r="E419" i="4"/>
  <c r="G418" i="4"/>
  <c r="F418" i="4"/>
  <c r="E418" i="4"/>
  <c r="G417" i="4"/>
  <c r="F417" i="4"/>
  <c r="E417" i="4"/>
  <c r="G416" i="4"/>
  <c r="F416" i="4"/>
  <c r="E416" i="4"/>
  <c r="G415" i="4"/>
  <c r="F415" i="4"/>
  <c r="E415" i="4"/>
  <c r="G414" i="4"/>
  <c r="F414" i="4"/>
  <c r="E414" i="4"/>
  <c r="G413" i="4"/>
  <c r="F413" i="4"/>
  <c r="E413" i="4"/>
  <c r="G412" i="4"/>
  <c r="F412" i="4"/>
  <c r="E412" i="4"/>
  <c r="G411" i="4"/>
  <c r="F411" i="4"/>
  <c r="E411" i="4"/>
  <c r="G410" i="4"/>
  <c r="F410" i="4"/>
  <c r="E410" i="4"/>
  <c r="G409" i="4"/>
  <c r="F409" i="4"/>
  <c r="E409" i="4"/>
  <c r="G408" i="4"/>
  <c r="F408" i="4"/>
  <c r="E408" i="4"/>
  <c r="G407" i="4"/>
  <c r="F407" i="4"/>
  <c r="E407" i="4"/>
  <c r="G406" i="4"/>
  <c r="F406" i="4"/>
  <c r="E406" i="4"/>
  <c r="G405" i="4"/>
  <c r="F405" i="4"/>
  <c r="E405" i="4"/>
  <c r="G404" i="4"/>
  <c r="F404" i="4"/>
  <c r="E404" i="4"/>
  <c r="G403" i="4"/>
  <c r="F403" i="4"/>
  <c r="E403" i="4"/>
  <c r="G402" i="4"/>
  <c r="F402" i="4"/>
  <c r="E402" i="4"/>
  <c r="G401" i="4"/>
  <c r="F401" i="4"/>
  <c r="E401" i="4"/>
  <c r="G400" i="4"/>
  <c r="F400" i="4"/>
  <c r="E400" i="4"/>
  <c r="G399" i="4"/>
  <c r="F399" i="4"/>
  <c r="E399" i="4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G42" i="4"/>
  <c r="F42" i="4"/>
  <c r="E42" i="4"/>
  <c r="G41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4" i="4"/>
  <c r="F4" i="4"/>
  <c r="E4" i="4"/>
  <c r="G3" i="4"/>
  <c r="F3" i="4"/>
  <c r="E3" i="4"/>
  <c r="G2" i="4"/>
  <c r="F2" i="4"/>
  <c r="E2" i="4"/>
  <c r="G5" i="4"/>
  <c r="F5" i="4"/>
  <c r="E5" i="4"/>
  <c r="M181" i="3"/>
  <c r="L181" i="3"/>
  <c r="K181" i="3"/>
  <c r="M180" i="3"/>
  <c r="L180" i="3"/>
  <c r="K180" i="3"/>
  <c r="M179" i="3"/>
  <c r="L179" i="3"/>
  <c r="K179" i="3"/>
  <c r="N178" i="3"/>
  <c r="M178" i="3"/>
  <c r="L178" i="3"/>
  <c r="M177" i="3"/>
  <c r="L177" i="3"/>
  <c r="K177" i="3"/>
  <c r="M176" i="3"/>
  <c r="L176" i="3"/>
  <c r="K176" i="3"/>
  <c r="M175" i="3"/>
  <c r="L175" i="3"/>
  <c r="K175" i="3"/>
  <c r="M174" i="3"/>
  <c r="L174" i="3"/>
  <c r="K174" i="3"/>
  <c r="M173" i="3"/>
  <c r="L173" i="3"/>
  <c r="K173" i="3"/>
  <c r="M172" i="3"/>
  <c r="L172" i="3"/>
  <c r="K172" i="3"/>
  <c r="M171" i="3"/>
  <c r="L171" i="3"/>
  <c r="K171" i="3"/>
  <c r="M170" i="3"/>
  <c r="L170" i="3"/>
  <c r="K170" i="3"/>
  <c r="M169" i="3"/>
  <c r="L169" i="3"/>
  <c r="K169" i="3"/>
  <c r="M168" i="3"/>
  <c r="L168" i="3"/>
  <c r="K168" i="3"/>
  <c r="M167" i="3"/>
  <c r="L167" i="3"/>
  <c r="K167" i="3"/>
  <c r="M166" i="3"/>
  <c r="L166" i="3"/>
  <c r="K166" i="3"/>
  <c r="M165" i="3"/>
  <c r="L165" i="3"/>
  <c r="K165" i="3"/>
  <c r="M164" i="3"/>
  <c r="L164" i="3"/>
  <c r="K164" i="3"/>
  <c r="M163" i="3"/>
  <c r="L163" i="3"/>
  <c r="K163" i="3"/>
  <c r="M162" i="3"/>
  <c r="L162" i="3"/>
  <c r="K162" i="3"/>
  <c r="M161" i="3"/>
  <c r="L161" i="3"/>
  <c r="K161" i="3"/>
  <c r="M160" i="3"/>
  <c r="L160" i="3"/>
  <c r="K160" i="3"/>
  <c r="M159" i="3"/>
  <c r="L159" i="3"/>
  <c r="K159" i="3"/>
  <c r="M158" i="3"/>
  <c r="L158" i="3"/>
  <c r="K158" i="3"/>
  <c r="M157" i="3"/>
  <c r="L157" i="3"/>
  <c r="K157" i="3"/>
  <c r="M156" i="3"/>
  <c r="L156" i="3"/>
  <c r="K156" i="3"/>
  <c r="M155" i="3"/>
  <c r="L155" i="3"/>
  <c r="K155" i="3"/>
  <c r="M154" i="3"/>
  <c r="L154" i="3"/>
  <c r="K154" i="3"/>
  <c r="M153" i="3"/>
  <c r="L153" i="3"/>
  <c r="K153" i="3"/>
  <c r="M152" i="3"/>
  <c r="L152" i="3"/>
  <c r="K152" i="3"/>
  <c r="M151" i="3"/>
  <c r="L151" i="3"/>
  <c r="K151" i="3"/>
  <c r="M150" i="3"/>
  <c r="L150" i="3"/>
  <c r="K150" i="3"/>
  <c r="M149" i="3"/>
  <c r="L149" i="3"/>
  <c r="K149" i="3"/>
  <c r="M148" i="3"/>
  <c r="L148" i="3"/>
  <c r="K148" i="3"/>
  <c r="M147" i="3"/>
  <c r="L147" i="3"/>
  <c r="K147" i="3"/>
  <c r="M146" i="3"/>
  <c r="L146" i="3"/>
  <c r="K146" i="3"/>
  <c r="M145" i="3"/>
  <c r="L145" i="3"/>
  <c r="K145" i="3"/>
  <c r="M144" i="3"/>
  <c r="L144" i="3"/>
  <c r="K144" i="3"/>
  <c r="M143" i="3"/>
  <c r="L143" i="3"/>
  <c r="K143" i="3"/>
  <c r="M142" i="3"/>
  <c r="L142" i="3"/>
  <c r="K142" i="3"/>
  <c r="M141" i="3"/>
  <c r="L141" i="3"/>
  <c r="K141" i="3"/>
  <c r="M140" i="3"/>
  <c r="L140" i="3"/>
  <c r="K140" i="3"/>
  <c r="M139" i="3"/>
  <c r="L139" i="3"/>
  <c r="K139" i="3"/>
  <c r="M138" i="3"/>
  <c r="L138" i="3"/>
  <c r="K138" i="3"/>
  <c r="M137" i="3"/>
  <c r="L137" i="3"/>
  <c r="K137" i="3"/>
  <c r="M136" i="3"/>
  <c r="L136" i="3"/>
  <c r="K136" i="3"/>
  <c r="M135" i="3"/>
  <c r="L135" i="3"/>
  <c r="K135" i="3"/>
  <c r="M134" i="3"/>
  <c r="L134" i="3"/>
  <c r="K134" i="3"/>
  <c r="M133" i="3"/>
  <c r="L133" i="3"/>
  <c r="K133" i="3"/>
  <c r="M132" i="3"/>
  <c r="L132" i="3"/>
  <c r="K132" i="3"/>
  <c r="M131" i="3"/>
  <c r="L131" i="3"/>
  <c r="K131" i="3"/>
  <c r="M130" i="3"/>
  <c r="L130" i="3"/>
  <c r="K130" i="3"/>
  <c r="M129" i="3"/>
  <c r="L129" i="3"/>
  <c r="K129" i="3"/>
  <c r="M128" i="3"/>
  <c r="L128" i="3"/>
  <c r="K128" i="3"/>
  <c r="M127" i="3"/>
  <c r="L127" i="3"/>
  <c r="K127" i="3"/>
  <c r="M126" i="3"/>
  <c r="L126" i="3"/>
  <c r="K126" i="3"/>
  <c r="M125" i="3"/>
  <c r="L125" i="3"/>
  <c r="K125" i="3"/>
  <c r="M124" i="3"/>
  <c r="L124" i="3"/>
  <c r="K124" i="3"/>
  <c r="M123" i="3"/>
  <c r="L123" i="3"/>
  <c r="K123" i="3"/>
  <c r="M122" i="3"/>
  <c r="L122" i="3"/>
  <c r="K122" i="3"/>
  <c r="M121" i="3"/>
  <c r="L121" i="3"/>
  <c r="K121" i="3"/>
  <c r="M120" i="3"/>
  <c r="L120" i="3"/>
  <c r="K120" i="3"/>
  <c r="M119" i="3"/>
  <c r="L119" i="3"/>
  <c r="K119" i="3"/>
  <c r="M118" i="3"/>
  <c r="L118" i="3"/>
  <c r="K118" i="3"/>
  <c r="M117" i="3"/>
  <c r="L117" i="3"/>
  <c r="K117" i="3"/>
  <c r="M116" i="3"/>
  <c r="L116" i="3"/>
  <c r="K116" i="3"/>
  <c r="M115" i="3"/>
  <c r="L115" i="3"/>
  <c r="K115" i="3"/>
  <c r="M114" i="3"/>
  <c r="L114" i="3"/>
  <c r="K114" i="3"/>
  <c r="M113" i="3"/>
  <c r="L113" i="3"/>
  <c r="K113" i="3"/>
  <c r="M112" i="3"/>
  <c r="L112" i="3"/>
  <c r="K112" i="3"/>
  <c r="M111" i="3"/>
  <c r="L111" i="3"/>
  <c r="K111" i="3"/>
  <c r="M110" i="3"/>
  <c r="L110" i="3"/>
  <c r="K110" i="3"/>
  <c r="M109" i="3"/>
  <c r="L109" i="3"/>
  <c r="K109" i="3"/>
  <c r="M108" i="3"/>
  <c r="L108" i="3"/>
  <c r="K108" i="3"/>
  <c r="M107" i="3"/>
  <c r="L107" i="3"/>
  <c r="K107" i="3"/>
  <c r="M106" i="3"/>
  <c r="L106" i="3"/>
  <c r="K106" i="3"/>
  <c r="M105" i="3"/>
  <c r="L105" i="3"/>
  <c r="K105" i="3"/>
  <c r="M104" i="3"/>
  <c r="L104" i="3"/>
  <c r="K104" i="3"/>
  <c r="M103" i="3"/>
  <c r="L103" i="3"/>
  <c r="K103" i="3"/>
  <c r="M102" i="3"/>
  <c r="L102" i="3"/>
  <c r="K102" i="3"/>
  <c r="M101" i="3"/>
  <c r="L101" i="3"/>
  <c r="K101" i="3"/>
  <c r="M100" i="3"/>
  <c r="L100" i="3"/>
  <c r="K100" i="3"/>
  <c r="M99" i="3"/>
  <c r="L99" i="3"/>
  <c r="K99" i="3"/>
  <c r="M98" i="3"/>
  <c r="L98" i="3"/>
  <c r="K98" i="3"/>
  <c r="M97" i="3"/>
  <c r="L97" i="3"/>
  <c r="K97" i="3"/>
  <c r="M96" i="3"/>
  <c r="L96" i="3"/>
  <c r="K96" i="3"/>
  <c r="M95" i="3"/>
  <c r="L95" i="3"/>
  <c r="K95" i="3"/>
  <c r="M94" i="3"/>
  <c r="L94" i="3"/>
  <c r="K94" i="3"/>
  <c r="M93" i="3"/>
  <c r="L93" i="3"/>
  <c r="K93" i="3"/>
  <c r="M92" i="3"/>
  <c r="L92" i="3"/>
  <c r="K92" i="3"/>
  <c r="M91" i="3"/>
  <c r="L91" i="3"/>
  <c r="K91" i="3"/>
  <c r="M90" i="3"/>
  <c r="L90" i="3"/>
  <c r="K90" i="3"/>
  <c r="M89" i="3"/>
  <c r="L89" i="3"/>
  <c r="K89" i="3"/>
  <c r="M88" i="3"/>
  <c r="L88" i="3"/>
  <c r="K88" i="3"/>
  <c r="M87" i="3"/>
  <c r="L87" i="3"/>
  <c r="K87" i="3"/>
  <c r="M86" i="3"/>
  <c r="L86" i="3"/>
  <c r="K86" i="3"/>
  <c r="M85" i="3"/>
  <c r="L85" i="3"/>
  <c r="K85" i="3"/>
  <c r="M84" i="3"/>
  <c r="L84" i="3"/>
  <c r="K84" i="3"/>
  <c r="M83" i="3"/>
  <c r="L83" i="3"/>
  <c r="K83" i="3"/>
  <c r="M82" i="3"/>
  <c r="L82" i="3"/>
  <c r="K82" i="3"/>
  <c r="M81" i="3"/>
  <c r="L81" i="3"/>
  <c r="K81" i="3"/>
  <c r="M80" i="3"/>
  <c r="L80" i="3"/>
  <c r="K80" i="3"/>
  <c r="M79" i="3"/>
  <c r="L79" i="3"/>
  <c r="K79" i="3"/>
  <c r="M78" i="3"/>
  <c r="L78" i="3"/>
  <c r="K78" i="3"/>
  <c r="M77" i="3"/>
  <c r="L77" i="3"/>
  <c r="K77" i="3"/>
  <c r="M76" i="3"/>
  <c r="L76" i="3"/>
  <c r="K76" i="3"/>
  <c r="M75" i="3"/>
  <c r="L75" i="3"/>
  <c r="K75" i="3"/>
  <c r="M74" i="3"/>
  <c r="L74" i="3"/>
  <c r="K74" i="3"/>
  <c r="M73" i="3"/>
  <c r="L73" i="3"/>
  <c r="K73" i="3"/>
  <c r="M72" i="3"/>
  <c r="L72" i="3"/>
  <c r="K72" i="3"/>
  <c r="M71" i="3"/>
  <c r="L71" i="3"/>
  <c r="K71" i="3"/>
  <c r="M70" i="3"/>
  <c r="L70" i="3"/>
  <c r="K70" i="3"/>
  <c r="M69" i="3"/>
  <c r="L69" i="3"/>
  <c r="K69" i="3"/>
  <c r="M68" i="3"/>
  <c r="L68" i="3"/>
  <c r="K68" i="3"/>
  <c r="M67" i="3"/>
  <c r="L67" i="3"/>
  <c r="K67" i="3"/>
  <c r="M66" i="3"/>
  <c r="L66" i="3"/>
  <c r="K66" i="3"/>
  <c r="M65" i="3"/>
  <c r="L65" i="3"/>
  <c r="K65" i="3"/>
  <c r="M64" i="3"/>
  <c r="L64" i="3"/>
  <c r="K64" i="3"/>
  <c r="M63" i="3"/>
  <c r="L63" i="3"/>
  <c r="K63" i="3"/>
  <c r="M62" i="3"/>
  <c r="L62" i="3"/>
  <c r="K62" i="3"/>
  <c r="M61" i="3"/>
  <c r="L61" i="3"/>
  <c r="K61" i="3"/>
  <c r="M60" i="3"/>
  <c r="L60" i="3"/>
  <c r="K60" i="3"/>
  <c r="M59" i="3"/>
  <c r="L59" i="3"/>
  <c r="K59" i="3"/>
  <c r="M58" i="3"/>
  <c r="L58" i="3"/>
  <c r="K58" i="3"/>
  <c r="M57" i="3"/>
  <c r="L57" i="3"/>
  <c r="K57" i="3"/>
  <c r="M56" i="3"/>
  <c r="L56" i="3"/>
  <c r="K56" i="3"/>
  <c r="M55" i="3"/>
  <c r="L55" i="3"/>
  <c r="K55" i="3"/>
  <c r="M54" i="3"/>
  <c r="L54" i="3"/>
  <c r="K54" i="3"/>
  <c r="M53" i="3"/>
  <c r="L53" i="3"/>
  <c r="K53" i="3"/>
  <c r="M52" i="3"/>
  <c r="L52" i="3"/>
  <c r="K52" i="3"/>
  <c r="M51" i="3"/>
  <c r="L51" i="3"/>
  <c r="K51" i="3"/>
  <c r="M50" i="3"/>
  <c r="L50" i="3"/>
  <c r="K50" i="3"/>
  <c r="M49" i="3"/>
  <c r="L49" i="3"/>
  <c r="K49" i="3"/>
  <c r="M48" i="3"/>
  <c r="L48" i="3"/>
  <c r="K48" i="3"/>
  <c r="M47" i="3"/>
  <c r="L47" i="3"/>
  <c r="K47" i="3"/>
  <c r="M46" i="3"/>
  <c r="L46" i="3"/>
  <c r="K46" i="3"/>
  <c r="M45" i="3"/>
  <c r="L45" i="3"/>
  <c r="K45" i="3"/>
  <c r="M44" i="3"/>
  <c r="L44" i="3"/>
  <c r="K44" i="3"/>
  <c r="M43" i="3"/>
  <c r="L43" i="3"/>
  <c r="K43" i="3"/>
  <c r="M42" i="3"/>
  <c r="L42" i="3"/>
  <c r="K42" i="3"/>
  <c r="M41" i="3"/>
  <c r="L41" i="3"/>
  <c r="K41" i="3"/>
  <c r="M40" i="3"/>
  <c r="L40" i="3"/>
  <c r="K40" i="3"/>
  <c r="M39" i="3"/>
  <c r="L39" i="3"/>
  <c r="K39" i="3"/>
  <c r="M38" i="3"/>
  <c r="L38" i="3"/>
  <c r="K38" i="3"/>
  <c r="M37" i="3"/>
  <c r="L37" i="3"/>
  <c r="K37" i="3"/>
  <c r="M36" i="3"/>
  <c r="L36" i="3"/>
  <c r="K36" i="3"/>
  <c r="M35" i="3"/>
  <c r="L35" i="3"/>
  <c r="K35" i="3"/>
  <c r="M34" i="3"/>
  <c r="L34" i="3"/>
  <c r="K34" i="3"/>
  <c r="M33" i="3"/>
  <c r="L33" i="3"/>
  <c r="K33" i="3"/>
  <c r="M32" i="3"/>
  <c r="L32" i="3"/>
  <c r="K32" i="3"/>
  <c r="M31" i="3"/>
  <c r="L31" i="3"/>
  <c r="K31" i="3"/>
  <c r="M30" i="3"/>
  <c r="L30" i="3"/>
  <c r="K30" i="3"/>
  <c r="M29" i="3"/>
  <c r="L29" i="3"/>
  <c r="K29" i="3"/>
  <c r="M28" i="3"/>
  <c r="L28" i="3"/>
  <c r="K28" i="3"/>
  <c r="M27" i="3"/>
  <c r="L27" i="3"/>
  <c r="K27" i="3"/>
  <c r="M26" i="3"/>
  <c r="L26" i="3"/>
  <c r="K26" i="3"/>
  <c r="M25" i="3"/>
  <c r="L25" i="3"/>
  <c r="K25" i="3"/>
  <c r="M24" i="3"/>
  <c r="L24" i="3"/>
  <c r="K24" i="3"/>
  <c r="M23" i="3"/>
  <c r="L23" i="3"/>
  <c r="K23" i="3"/>
  <c r="M22" i="3"/>
  <c r="L22" i="3"/>
  <c r="K22" i="3"/>
  <c r="M21" i="3"/>
  <c r="L21" i="3"/>
  <c r="K21" i="3"/>
  <c r="M20" i="3"/>
  <c r="L20" i="3"/>
  <c r="K20" i="3"/>
  <c r="M19" i="3"/>
  <c r="L19" i="3"/>
  <c r="K19" i="3"/>
  <c r="M18" i="3"/>
  <c r="L18" i="3"/>
  <c r="K18" i="3"/>
  <c r="M17" i="3"/>
  <c r="L17" i="3"/>
  <c r="K17" i="3"/>
  <c r="M16" i="3"/>
  <c r="L16" i="3"/>
  <c r="K16" i="3"/>
  <c r="M15" i="3"/>
  <c r="L15" i="3"/>
  <c r="K15" i="3"/>
  <c r="M14" i="3"/>
  <c r="L14" i="3"/>
  <c r="K14" i="3"/>
  <c r="M13" i="3"/>
  <c r="L13" i="3"/>
  <c r="K13" i="3"/>
  <c r="M12" i="3"/>
  <c r="L12" i="3"/>
  <c r="K12" i="3"/>
  <c r="M11" i="3"/>
  <c r="L11" i="3"/>
  <c r="K11" i="3"/>
  <c r="M10" i="3"/>
  <c r="L10" i="3"/>
  <c r="K10" i="3"/>
  <c r="M9" i="3"/>
  <c r="L9" i="3"/>
  <c r="K9" i="3"/>
  <c r="M8" i="3"/>
  <c r="L8" i="3"/>
  <c r="K8" i="3"/>
  <c r="M7" i="3"/>
  <c r="L7" i="3"/>
  <c r="K7" i="3"/>
  <c r="M6" i="3"/>
  <c r="L6" i="3"/>
  <c r="K6" i="3"/>
  <c r="M5" i="3"/>
  <c r="L5" i="3"/>
  <c r="K5" i="3"/>
  <c r="M4" i="3"/>
  <c r="L4" i="3"/>
  <c r="K4" i="3"/>
  <c r="P28" i="7" l="1"/>
  <c r="R28" i="7" s="1"/>
  <c r="Q28" i="7"/>
  <c r="E35" i="7"/>
  <c r="J29" i="7"/>
  <c r="R29" i="7" s="1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X42" i="1"/>
  <c r="N39" i="1"/>
  <c r="Q44" i="1"/>
  <c r="N42" i="1"/>
  <c r="Q40" i="1"/>
  <c r="N38" i="1"/>
  <c r="X38" i="1" s="1"/>
  <c r="X78" i="1"/>
  <c r="X75" i="1"/>
  <c r="X52" i="1"/>
  <c r="R103" i="1"/>
  <c r="O103" i="1"/>
  <c r="X103" i="1" s="1"/>
  <c r="R100" i="1"/>
  <c r="O100" i="1"/>
  <c r="X100" i="1" s="1"/>
  <c r="R98" i="1"/>
  <c r="X97" i="1" s="1"/>
  <c r="O98" i="1"/>
  <c r="R95" i="1"/>
  <c r="X94" i="1" s="1"/>
  <c r="O95" i="1"/>
  <c r="R91" i="1"/>
  <c r="R89" i="1"/>
  <c r="X88" i="1" s="1"/>
  <c r="O91" i="1"/>
  <c r="X91" i="1" s="1"/>
  <c r="O89" i="1"/>
  <c r="O83" i="1"/>
  <c r="R83" i="1"/>
  <c r="X82" i="1" s="1"/>
  <c r="R85" i="1"/>
  <c r="O85" i="1"/>
  <c r="X85" i="1" s="1"/>
  <c r="U59" i="1"/>
  <c r="U58" i="1"/>
  <c r="U56" i="1"/>
  <c r="U55" i="1"/>
  <c r="U53" i="1"/>
  <c r="U52" i="1"/>
  <c r="U50" i="1"/>
  <c r="U49" i="1"/>
  <c r="U79" i="1"/>
  <c r="T79" i="1"/>
  <c r="U78" i="1"/>
  <c r="T78" i="1"/>
  <c r="U76" i="1"/>
  <c r="T76" i="1"/>
  <c r="U75" i="1"/>
  <c r="T75" i="1"/>
  <c r="U73" i="1"/>
  <c r="T73" i="1"/>
  <c r="T72" i="1"/>
  <c r="T70" i="1"/>
  <c r="T68" i="1"/>
  <c r="U67" i="1"/>
  <c r="T67" i="1"/>
  <c r="T65" i="1"/>
  <c r="T64" i="1"/>
  <c r="T62" i="1"/>
  <c r="U61" i="1"/>
  <c r="T61" i="1"/>
  <c r="T59" i="1"/>
  <c r="T58" i="1"/>
  <c r="T56" i="1"/>
  <c r="T55" i="1"/>
  <c r="T53" i="1"/>
  <c r="T52" i="1"/>
  <c r="N59" i="1"/>
  <c r="N58" i="1"/>
  <c r="X58" i="1" s="1"/>
  <c r="N56" i="1"/>
  <c r="N55" i="1"/>
  <c r="X55" i="1" s="1"/>
  <c r="Q50" i="1"/>
  <c r="T50" i="1" s="1"/>
  <c r="Q49" i="1"/>
  <c r="T49" i="1" s="1"/>
  <c r="Q47" i="1"/>
  <c r="X46" i="1" s="1"/>
  <c r="Q46" i="1"/>
  <c r="R64" i="1"/>
  <c r="R65" i="1" s="1"/>
  <c r="U65" i="1" s="1"/>
  <c r="O64" i="1"/>
  <c r="O65" i="1" s="1"/>
  <c r="O68" i="1"/>
  <c r="R68" i="1"/>
  <c r="U68" i="1" s="1"/>
  <c r="R70" i="1"/>
  <c r="U70" i="1" s="1"/>
  <c r="O70" i="1"/>
  <c r="R72" i="1"/>
  <c r="U72" i="1" s="1"/>
  <c r="O72" i="1"/>
  <c r="R62" i="1"/>
  <c r="X61" i="1" s="1"/>
  <c r="O62" i="1"/>
  <c r="M26" i="1"/>
  <c r="Z30" i="1"/>
  <c r="AD30" i="1" s="1"/>
  <c r="R31" i="1"/>
  <c r="F35" i="7" l="1"/>
  <c r="E36" i="7"/>
  <c r="U64" i="1"/>
  <c r="X49" i="1"/>
  <c r="J2" i="3"/>
  <c r="J3" i="3"/>
  <c r="X72" i="1"/>
  <c r="U62" i="1"/>
  <c r="X67" i="1"/>
  <c r="X64" i="1"/>
  <c r="F36" i="7" l="1"/>
  <c r="E37" i="7"/>
  <c r="F37" i="7" l="1"/>
  <c r="E38" i="7"/>
  <c r="F38" i="7" l="1"/>
  <c r="E39" i="7"/>
  <c r="E40" i="7" l="1"/>
  <c r="F39" i="7"/>
  <c r="F40" i="7" l="1"/>
  <c r="E41" i="7"/>
  <c r="F41" i="7" l="1"/>
  <c r="E42" i="7"/>
  <c r="F42" i="7" l="1"/>
  <c r="E43" i="7"/>
  <c r="F43" i="7" l="1"/>
  <c r="E44" i="7"/>
  <c r="F44" i="7" l="1"/>
  <c r="E45" i="7"/>
  <c r="F45" i="7" l="1"/>
  <c r="E46" i="7"/>
  <c r="F46" i="7" l="1"/>
  <c r="E47" i="7"/>
  <c r="F47" i="7" l="1"/>
  <c r="E48" i="7"/>
  <c r="F48" i="7" l="1"/>
  <c r="E49" i="7"/>
  <c r="F49" i="7" l="1"/>
  <c r="E50" i="7"/>
  <c r="F50" i="7" l="1"/>
  <c r="E51" i="7"/>
  <c r="F51" i="7" l="1"/>
  <c r="E52" i="7"/>
  <c r="F52" i="7" s="1"/>
</calcChain>
</file>

<file path=xl/sharedStrings.xml><?xml version="1.0" encoding="utf-8"?>
<sst xmlns="http://schemas.openxmlformats.org/spreadsheetml/2006/main" count="4010" uniqueCount="3615">
  <si>
    <t>スピード</t>
    <phoneticPr fontId="2"/>
  </si>
  <si>
    <t>狙いX</t>
    <rPh sb="0" eb="1">
      <t>ネラ</t>
    </rPh>
    <phoneticPr fontId="2"/>
  </si>
  <si>
    <t>狙いY</t>
    <rPh sb="0" eb="1">
      <t>ネラ</t>
    </rPh>
    <phoneticPr fontId="2"/>
  </si>
  <si>
    <t>回転量X</t>
    <rPh sb="0" eb="2">
      <t>カイテン</t>
    </rPh>
    <rPh sb="2" eb="3">
      <t>リョウ</t>
    </rPh>
    <phoneticPr fontId="2"/>
  </si>
  <si>
    <t>戻る位置X</t>
    <rPh sb="0" eb="1">
      <t>モド</t>
    </rPh>
    <rPh sb="2" eb="4">
      <t>イチ</t>
    </rPh>
    <phoneticPr fontId="2"/>
  </si>
  <si>
    <t>戻る位置Y</t>
    <rPh sb="0" eb="1">
      <t>モド</t>
    </rPh>
    <rPh sb="2" eb="4">
      <t>イチ</t>
    </rPh>
    <phoneticPr fontId="2"/>
  </si>
  <si>
    <t>ボールの位置X</t>
    <rPh sb="4" eb="6">
      <t>イチ</t>
    </rPh>
    <phoneticPr fontId="2"/>
  </si>
  <si>
    <t>ボールの位置Y</t>
    <rPh sb="4" eb="6">
      <t>イチ</t>
    </rPh>
    <phoneticPr fontId="2"/>
  </si>
  <si>
    <t>ボールのスピードX</t>
    <phoneticPr fontId="2"/>
  </si>
  <si>
    <t>ボールの位置Z</t>
    <rPh sb="4" eb="6">
      <t>イチ</t>
    </rPh>
    <phoneticPr fontId="2"/>
  </si>
  <si>
    <t>ボールのスピードY</t>
    <phoneticPr fontId="2"/>
  </si>
  <si>
    <t>ボールのスピードZ</t>
    <phoneticPr fontId="2"/>
  </si>
  <si>
    <t>ボールの回転X</t>
    <rPh sb="4" eb="6">
      <t>カイテン</t>
    </rPh>
    <phoneticPr fontId="2"/>
  </si>
  <si>
    <t>ボールの回転Y</t>
    <rPh sb="4" eb="6">
      <t>カイテン</t>
    </rPh>
    <phoneticPr fontId="2"/>
  </si>
  <si>
    <t>ボールの回転Z</t>
    <rPh sb="4" eb="6">
      <t>カイテン</t>
    </rPh>
    <phoneticPr fontId="2"/>
  </si>
  <si>
    <t>x=0</t>
    <phoneticPr fontId="2"/>
  </si>
  <si>
    <t>x=0</t>
    <phoneticPr fontId="2"/>
  </si>
  <si>
    <t>←5cm</t>
    <phoneticPr fontId="2"/>
  </si>
  <si>
    <t>↓10cm</t>
    <phoneticPr fontId="2"/>
  </si>
  <si>
    <t>↑</t>
    <phoneticPr fontId="2"/>
  </si>
  <si>
    <t>0.914m</t>
    <phoneticPr fontId="2"/>
  </si>
  <si>
    <t>高さ0.914m</t>
    <rPh sb="0" eb="1">
      <t>タカ</t>
    </rPh>
    <phoneticPr fontId="2"/>
  </si>
  <si>
    <t>高さ1.07m</t>
    <rPh sb="0" eb="1">
      <t>タカ</t>
    </rPh>
    <phoneticPr fontId="2"/>
  </si>
  <si>
    <t>ベースライン1</t>
    <phoneticPr fontId="2"/>
  </si>
  <si>
    <t>～</t>
    <phoneticPr fontId="2"/>
  </si>
  <si>
    <t>サービスライン2</t>
    <phoneticPr fontId="2"/>
  </si>
  <si>
    <t>ベースライン2</t>
    <phoneticPr fontId="2"/>
  </si>
  <si>
    <t>サービスライン1</t>
    <phoneticPr fontId="2"/>
  </si>
  <si>
    <t>センターマーク</t>
    <phoneticPr fontId="2"/>
  </si>
  <si>
    <t>センターライン</t>
    <phoneticPr fontId="2"/>
  </si>
  <si>
    <t>ダブルスサイドラインL</t>
    <phoneticPr fontId="2"/>
  </si>
  <si>
    <t>シングルスサイドラインL</t>
    <phoneticPr fontId="2"/>
  </si>
  <si>
    <t>センターサービスライン</t>
    <phoneticPr fontId="2"/>
  </si>
  <si>
    <t>ダブルスサイドラインR</t>
    <phoneticPr fontId="2"/>
  </si>
  <si>
    <t>シングルスサイドラインR</t>
    <phoneticPr fontId="2"/>
  </si>
  <si>
    <t>シングルス判定1</t>
    <rPh sb="5" eb="7">
      <t>ハンテイ</t>
    </rPh>
    <phoneticPr fontId="2"/>
  </si>
  <si>
    <t>シングルス判定2</t>
    <rPh sb="5" eb="7">
      <t>ハンテイ</t>
    </rPh>
    <phoneticPr fontId="2"/>
  </si>
  <si>
    <t>ダブルス判定1</t>
    <rPh sb="4" eb="6">
      <t>ハンテイ</t>
    </rPh>
    <phoneticPr fontId="2"/>
  </si>
  <si>
    <t>ダブルス判定2</t>
    <rPh sb="4" eb="6">
      <t>ハンテイ</t>
    </rPh>
    <phoneticPr fontId="2"/>
  </si>
  <si>
    <t>サービス判定1D</t>
    <rPh sb="4" eb="6">
      <t>ハンテイ</t>
    </rPh>
    <phoneticPr fontId="2"/>
  </si>
  <si>
    <t>サービス判定1A</t>
    <rPh sb="4" eb="6">
      <t>ハンテイ</t>
    </rPh>
    <phoneticPr fontId="2"/>
  </si>
  <si>
    <t>サービス判定2D</t>
    <rPh sb="4" eb="6">
      <t>ハンテイ</t>
    </rPh>
    <phoneticPr fontId="2"/>
  </si>
  <si>
    <t>サービス判定2A</t>
    <rPh sb="4" eb="6">
      <t>ハンテイ</t>
    </rPh>
    <phoneticPr fontId="2"/>
  </si>
  <si>
    <t>singlesjudge1=</t>
    <phoneticPr fontId="2"/>
  </si>
  <si>
    <t>singlesjudge2=</t>
    <phoneticPr fontId="2"/>
  </si>
  <si>
    <t>doublesjudge1=</t>
    <phoneticPr fontId="2"/>
  </si>
  <si>
    <t>doublesjudge2=</t>
    <phoneticPr fontId="2"/>
  </si>
  <si>
    <t>servicejudge1d=</t>
    <phoneticPr fontId="2"/>
  </si>
  <si>
    <t>servicejudge1a=</t>
    <phoneticPr fontId="2"/>
  </si>
  <si>
    <t>servicejudge2d=</t>
    <phoneticPr fontId="2"/>
  </si>
  <si>
    <t>servicejudge2a=</t>
    <phoneticPr fontId="2"/>
  </si>
  <si>
    <t>シングルスネットL</t>
    <phoneticPr fontId="2"/>
  </si>
  <si>
    <t>シングルスネットR</t>
    <phoneticPr fontId="2"/>
  </si>
  <si>
    <t>ダブルスネットR</t>
    <phoneticPr fontId="2"/>
  </si>
  <si>
    <t>ダブルスネットL</t>
    <phoneticPr fontId="2"/>
  </si>
  <si>
    <t>x</t>
    <phoneticPr fontId="2"/>
  </si>
  <si>
    <t>y</t>
    <phoneticPr fontId="2"/>
  </si>
  <si>
    <t>z</t>
    <phoneticPr fontId="2"/>
  </si>
  <si>
    <t>DMC</t>
  </si>
  <si>
    <t>ANC</t>
  </si>
  <si>
    <t>SEMCO</t>
  </si>
  <si>
    <t>MADEIRA</t>
  </si>
  <si>
    <t>J&amp;P</t>
  </si>
  <si>
    <t>COSMO</t>
  </si>
  <si>
    <t>OLYMPUS</t>
  </si>
  <si>
    <t>Y/D</t>
  </si>
  <si>
    <t>COLOR</t>
  </si>
  <si>
    <t>Blanc</t>
  </si>
  <si>
    <t>White</t>
  </si>
  <si>
    <t>-</t>
  </si>
  <si>
    <t>white</t>
  </si>
  <si>
    <t>刺繍糸DMC_Blanc</t>
  </si>
  <si>
    <t>Ecru</t>
  </si>
  <si>
    <t>Y934</t>
  </si>
  <si>
    <t>刺繍糸DMC_Ecru</t>
  </si>
  <si>
    <t>111/110</t>
  </si>
  <si>
    <t>Y364</t>
  </si>
  <si>
    <t>刺繍糸DMC_208</t>
  </si>
  <si>
    <t>Y363</t>
  </si>
  <si>
    <t>刺繍糸DMC_209</t>
  </si>
  <si>
    <t>262/553</t>
  </si>
  <si>
    <t>Y362</t>
  </si>
  <si>
    <t>刺繍糸DMC_210</t>
  </si>
  <si>
    <t>342/103</t>
  </si>
  <si>
    <t>261/281</t>
  </si>
  <si>
    <t>Y361</t>
  </si>
  <si>
    <t>刺繍糸DMC_211</t>
  </si>
  <si>
    <t>Y316</t>
  </si>
  <si>
    <t>刺繍糸DMC_221</t>
  </si>
  <si>
    <t>895/969</t>
  </si>
  <si>
    <t>653/463</t>
  </si>
  <si>
    <t>Y313</t>
  </si>
  <si>
    <t>刺繍糸DMC_223</t>
  </si>
  <si>
    <t>893/894</t>
  </si>
  <si>
    <t>652/233</t>
  </si>
  <si>
    <t>Y312</t>
  </si>
  <si>
    <t>刺繍糸DMC_224</t>
  </si>
  <si>
    <t>1020/892</t>
  </si>
  <si>
    <t>651/232</t>
  </si>
  <si>
    <t>Y311</t>
  </si>
  <si>
    <t>刺繍糸DMC_225</t>
  </si>
  <si>
    <t>357/352</t>
  </si>
  <si>
    <t>Y809</t>
  </si>
  <si>
    <t>刺繍糸DMC_300</t>
  </si>
  <si>
    <t>1049/349</t>
  </si>
  <si>
    <t>Y807</t>
  </si>
  <si>
    <t>刺繍糸DMC_301</t>
  </si>
  <si>
    <t>1006/19</t>
  </si>
  <si>
    <t>Y177</t>
  </si>
  <si>
    <t>刺繍糸DMC_304</t>
  </si>
  <si>
    <t>Y102</t>
  </si>
  <si>
    <t>刺繍糸DMC_307</t>
  </si>
  <si>
    <t>39/42</t>
  </si>
  <si>
    <t>Y247</t>
  </si>
  <si>
    <t>刺繍糸DMC_309</t>
  </si>
  <si>
    <t>Black</t>
  </si>
  <si>
    <t>刺繍糸DMC_310</t>
  </si>
  <si>
    <t>168/556</t>
  </si>
  <si>
    <t>Y459</t>
  </si>
  <si>
    <t>刺繍糸DMC_311</t>
  </si>
  <si>
    <t>166/733</t>
  </si>
  <si>
    <t>Y458</t>
  </si>
  <si>
    <t>刺繍糸DMC_312</t>
  </si>
  <si>
    <t>Y325</t>
  </si>
  <si>
    <t>刺繍糸DMC_315</t>
  </si>
  <si>
    <t>234/235</t>
  </si>
  <si>
    <t>Y323</t>
  </si>
  <si>
    <t>刺繍糸DMC_316</t>
  </si>
  <si>
    <t>2154/320</t>
  </si>
  <si>
    <t>Y975</t>
  </si>
  <si>
    <t>刺繍糸DMC_317</t>
  </si>
  <si>
    <t>Y973</t>
  </si>
  <si>
    <t>刺繍糸DMC_318</t>
  </si>
  <si>
    <t>Y616</t>
  </si>
  <si>
    <t>刺繍糸DMC_319</t>
  </si>
  <si>
    <t>Y614</t>
  </si>
  <si>
    <t>刺繍糸DMC_320</t>
  </si>
  <si>
    <t>47/9046</t>
  </si>
  <si>
    <t>Y176</t>
  </si>
  <si>
    <t>刺繍糸DMC_321</t>
  </si>
  <si>
    <t>166/526</t>
  </si>
  <si>
    <t>Y457</t>
  </si>
  <si>
    <t>刺繍糸DMC_322</t>
  </si>
  <si>
    <t>108/345</t>
  </si>
  <si>
    <t>Y248</t>
  </si>
  <si>
    <t>刺繍糸DMC_326</t>
  </si>
  <si>
    <t>285/266</t>
  </si>
  <si>
    <t>Y366</t>
  </si>
  <si>
    <t>刺繍糸DMC_327</t>
  </si>
  <si>
    <t>Y405</t>
  </si>
  <si>
    <t>刺繍糸DMC_333</t>
  </si>
  <si>
    <t>165/524</t>
  </si>
  <si>
    <t>Y456</t>
  </si>
  <si>
    <t>刺繍糸DMC_334</t>
  </si>
  <si>
    <t>Y246</t>
  </si>
  <si>
    <t>刺繍糸DMC_335</t>
  </si>
  <si>
    <t>150/149</t>
  </si>
  <si>
    <t>168/735</t>
  </si>
  <si>
    <t>Y461</t>
  </si>
  <si>
    <t>刺繍糸DMC_336</t>
  </si>
  <si>
    <t>Y403</t>
  </si>
  <si>
    <t>刺繍糸DMC_340</t>
  </si>
  <si>
    <t>Y402</t>
  </si>
  <si>
    <t>刺繍糸DMC_341</t>
  </si>
  <si>
    <t>345/816</t>
  </si>
  <si>
    <t>Y156</t>
  </si>
  <si>
    <t>刺繍糸DMC_347</t>
  </si>
  <si>
    <t>858/346</t>
  </si>
  <si>
    <t>Y165</t>
  </si>
  <si>
    <t>刺繍糸DMC_349</t>
  </si>
  <si>
    <t>344/837</t>
  </si>
  <si>
    <t>Y164</t>
  </si>
  <si>
    <t>刺繍糸DMC_350</t>
  </si>
  <si>
    <t>2343/343</t>
  </si>
  <si>
    <t>Y163</t>
  </si>
  <si>
    <t>刺繍糸DMC_351</t>
  </si>
  <si>
    <t>342/835</t>
  </si>
  <si>
    <t>Y162</t>
  </si>
  <si>
    <t>刺繍糸DMC_352</t>
  </si>
  <si>
    <t>2341/834</t>
  </si>
  <si>
    <t>Y161</t>
  </si>
  <si>
    <t>刺繍糸DMC_353</t>
  </si>
  <si>
    <t>Y837</t>
  </si>
  <si>
    <t>刺繍糸DMC_355</t>
  </si>
  <si>
    <t>Y835</t>
  </si>
  <si>
    <t>刺繍糸DMC_356</t>
  </si>
  <si>
    <t>120/319</t>
  </si>
  <si>
    <t>Y615</t>
  </si>
  <si>
    <t>刺繍糸DMC_367</t>
  </si>
  <si>
    <t>2317/317</t>
  </si>
  <si>
    <t>Y613</t>
  </si>
  <si>
    <t>刺繍糸DMC_368</t>
  </si>
  <si>
    <t>Y611</t>
  </si>
  <si>
    <t>刺繍糸DMC_369</t>
  </si>
  <si>
    <t>856/855</t>
  </si>
  <si>
    <t>Y728</t>
  </si>
  <si>
    <t>刺繍糸DMC_370</t>
  </si>
  <si>
    <t>855/854</t>
  </si>
  <si>
    <t>Y727</t>
  </si>
  <si>
    <t>刺繍糸DMC_371</t>
  </si>
  <si>
    <t>Y726</t>
  </si>
  <si>
    <t>刺繍糸DMC_372</t>
  </si>
  <si>
    <t>Y808</t>
  </si>
  <si>
    <t>刺繍糸DMC_400</t>
  </si>
  <si>
    <t>347/1047</t>
  </si>
  <si>
    <t>127/2402</t>
  </si>
  <si>
    <t>Y805</t>
  </si>
  <si>
    <t>刺繍糸DMC_402</t>
  </si>
  <si>
    <t>Y855</t>
  </si>
  <si>
    <t>刺繍糸DMC_407</t>
  </si>
  <si>
    <t>Y976</t>
  </si>
  <si>
    <t>刺繍糸DMC_413</t>
  </si>
  <si>
    <t>Y974</t>
  </si>
  <si>
    <t>刺繍糸DMC_414</t>
  </si>
  <si>
    <t>Y972</t>
  </si>
  <si>
    <t>刺繍糸DMC_415</t>
  </si>
  <si>
    <t>375/374</t>
  </si>
  <si>
    <t>575/577</t>
  </si>
  <si>
    <t>Y754</t>
  </si>
  <si>
    <t>刺繍糸DMC_420</t>
  </si>
  <si>
    <t>Y752</t>
  </si>
  <si>
    <t>刺繍糸DMC_422</t>
  </si>
  <si>
    <t>371/358</t>
  </si>
  <si>
    <t>309/578</t>
  </si>
  <si>
    <t>Y878</t>
  </si>
  <si>
    <t>刺繍糸DMC_433</t>
  </si>
  <si>
    <t>310/370</t>
  </si>
  <si>
    <t>Y877</t>
  </si>
  <si>
    <t>刺繍糸DMC_434</t>
  </si>
  <si>
    <t>1046/365</t>
  </si>
  <si>
    <t>Y876</t>
  </si>
  <si>
    <t>刺繍糸DMC_435</t>
  </si>
  <si>
    <t>Y875</t>
  </si>
  <si>
    <t>刺繍糸DMC_436</t>
  </si>
  <si>
    <t>362/368</t>
  </si>
  <si>
    <t>Y874</t>
  </si>
  <si>
    <t>刺繍糸DMC_437</t>
  </si>
  <si>
    <t>297/291</t>
  </si>
  <si>
    <t>Y103</t>
  </si>
  <si>
    <t>刺繍糸DMC_444</t>
  </si>
  <si>
    <t>Y101</t>
  </si>
  <si>
    <t>刺繍糸DMC_445</t>
  </si>
  <si>
    <t>Y863</t>
  </si>
  <si>
    <t>刺繍糸DMC_451</t>
  </si>
  <si>
    <t>Y862</t>
  </si>
  <si>
    <t>刺繍糸DMC_452</t>
  </si>
  <si>
    <t>473/761</t>
  </si>
  <si>
    <t>Y861</t>
  </si>
  <si>
    <t>刺繍糸DMC_453</t>
  </si>
  <si>
    <t>633/634</t>
  </si>
  <si>
    <t>Y664</t>
  </si>
  <si>
    <t>刺繍糸DMC_469</t>
  </si>
  <si>
    <t>632/633</t>
  </si>
  <si>
    <t>Y663</t>
  </si>
  <si>
    <t>刺繍糸DMC_470</t>
  </si>
  <si>
    <t>265/266</t>
  </si>
  <si>
    <t>631/923</t>
  </si>
  <si>
    <t>Y662</t>
  </si>
  <si>
    <t>刺繍糸DMC_471</t>
  </si>
  <si>
    <t>253/254</t>
  </si>
  <si>
    <t>630/323</t>
  </si>
  <si>
    <t>Y661</t>
  </si>
  <si>
    <t>刺繍糸DMC_472""</t>
  </si>
  <si>
    <t>Y178</t>
  </si>
  <si>
    <t>刺繍糸DMC_498</t>
  </si>
  <si>
    <t>683/879</t>
  </si>
  <si>
    <t>Y576</t>
  </si>
  <si>
    <t>刺繍糸DMC_500</t>
  </si>
  <si>
    <t>536/2319</t>
  </si>
  <si>
    <t>Y575</t>
  </si>
  <si>
    <t>刺繍糸DMC_501</t>
  </si>
  <si>
    <t>Y574</t>
  </si>
  <si>
    <t>刺繍糸DMC_502</t>
  </si>
  <si>
    <t>Y573</t>
  </si>
  <si>
    <t>刺繍糸DMC_503</t>
  </si>
  <si>
    <t>504(廃色)近似色3813</t>
  </si>
  <si>
    <t>1042/213</t>
  </si>
  <si>
    <t>533/315</t>
  </si>
  <si>
    <t>243/201</t>
  </si>
  <si>
    <t>Y571</t>
  </si>
  <si>
    <t>刺繍糸DMC_504</t>
  </si>
  <si>
    <t>254/376</t>
  </si>
  <si>
    <t>Y495</t>
  </si>
  <si>
    <t>刺繍糸DMC_517</t>
  </si>
  <si>
    <t>2253/253</t>
  </si>
  <si>
    <t>Y493</t>
  </si>
  <si>
    <t>刺繍糸DMC_518</t>
  </si>
  <si>
    <t>Y492</t>
  </si>
  <si>
    <t>刺繍糸DMC_519</t>
  </si>
  <si>
    <t>2015/205</t>
  </si>
  <si>
    <t>Y684</t>
  </si>
  <si>
    <t>刺繍糸DMC_520</t>
  </si>
  <si>
    <t>Y683</t>
  </si>
  <si>
    <t>刺繍糸DMC_522</t>
  </si>
  <si>
    <t>Y682</t>
  </si>
  <si>
    <t>刺繍糸DMC_523</t>
  </si>
  <si>
    <t>Y681</t>
  </si>
  <si>
    <t>刺繍糸DMC_524</t>
  </si>
  <si>
    <t>894/477</t>
  </si>
  <si>
    <t>Y966</t>
  </si>
  <si>
    <t>刺繍糸DMC_535</t>
  </si>
  <si>
    <t>933/276</t>
  </si>
  <si>
    <t>1000/423</t>
  </si>
  <si>
    <t>Y901</t>
  </si>
  <si>
    <t>刺繍糸DMC_543</t>
  </si>
  <si>
    <t>101/102</t>
  </si>
  <si>
    <t>Y354</t>
  </si>
  <si>
    <t>刺繍糸DMC_550</t>
  </si>
  <si>
    <t>100/99</t>
  </si>
  <si>
    <t>286/285</t>
  </si>
  <si>
    <t>Y353</t>
  </si>
  <si>
    <t>刺繍糸DMC_552</t>
  </si>
  <si>
    <t>98/92</t>
  </si>
  <si>
    <t>284/283</t>
  </si>
  <si>
    <t>Y352</t>
  </si>
  <si>
    <t>刺繍糸DMC_553</t>
  </si>
  <si>
    <t>Y351</t>
  </si>
  <si>
    <t>刺繍糸DMC_554</t>
  </si>
  <si>
    <t>846/845</t>
  </si>
  <si>
    <t>Y554</t>
  </si>
  <si>
    <t>刺繍糸DMC_561</t>
  </si>
  <si>
    <t>210/216</t>
  </si>
  <si>
    <t>Y553</t>
  </si>
  <si>
    <t>刺繍糸DMC_562</t>
  </si>
  <si>
    <t>Y552</t>
  </si>
  <si>
    <t>刺繍糸DMC_563</t>
  </si>
  <si>
    <t>Y551</t>
  </si>
  <si>
    <t>刺繍糸DMC_564</t>
  </si>
  <si>
    <t>Y708</t>
  </si>
  <si>
    <t>刺繍糸DMC_580</t>
  </si>
  <si>
    <t>Y707</t>
  </si>
  <si>
    <t>刺繍糸DMC_581</t>
  </si>
  <si>
    <t>565/265</t>
  </si>
  <si>
    <t>Y513</t>
  </si>
  <si>
    <t>刺繍糸DMC_597</t>
  </si>
  <si>
    <t>1062/167</t>
  </si>
  <si>
    <t>563/562</t>
  </si>
  <si>
    <t>Y512</t>
  </si>
  <si>
    <t>刺繍糸DMC_598</t>
  </si>
  <si>
    <t>506/505</t>
  </si>
  <si>
    <t>129/128</t>
  </si>
  <si>
    <t>Y276</t>
  </si>
  <si>
    <t>刺繍糸DMC_600</t>
  </si>
  <si>
    <t>63/57</t>
  </si>
  <si>
    <t>505/506</t>
  </si>
  <si>
    <t>128/129</t>
  </si>
  <si>
    <t>Y275</t>
  </si>
  <si>
    <t>刺繍糸DMC_601</t>
  </si>
  <si>
    <t>Y274</t>
  </si>
  <si>
    <t>刺繍糸DMC_602</t>
  </si>
  <si>
    <t>52/60</t>
  </si>
  <si>
    <t>503/483</t>
  </si>
  <si>
    <t>Y273</t>
  </si>
  <si>
    <t>刺繍糸DMC_603</t>
  </si>
  <si>
    <t>Y272</t>
  </si>
  <si>
    <t>刺繍糸DMC_604</t>
  </si>
  <si>
    <t>74/1094</t>
  </si>
  <si>
    <t>1043/</t>
  </si>
  <si>
    <t>123/124</t>
  </si>
  <si>
    <t>Y271</t>
  </si>
  <si>
    <t>刺繍糸DMC_605</t>
  </si>
  <si>
    <t>335/334</t>
  </si>
  <si>
    <t>758/798</t>
  </si>
  <si>
    <t>Y142</t>
  </si>
  <si>
    <t>刺繍糸DMC_606</t>
  </si>
  <si>
    <t>Y141</t>
  </si>
  <si>
    <t>刺繍糸DMC_608</t>
  </si>
  <si>
    <t>311/369</t>
  </si>
  <si>
    <t>Y744</t>
  </si>
  <si>
    <t>刺繍糸DMC_610</t>
  </si>
  <si>
    <t>368/716</t>
  </si>
  <si>
    <t>Y743</t>
  </si>
  <si>
    <t>刺繍糸DMC_611</t>
  </si>
  <si>
    <t>Y742</t>
  </si>
  <si>
    <t>刺繍糸DMC_612</t>
  </si>
  <si>
    <t>831/956</t>
  </si>
  <si>
    <t>Y741</t>
  </si>
  <si>
    <t>刺繍糸DMC_613</t>
  </si>
  <si>
    <t>Y857</t>
  </si>
  <si>
    <t>刺繍糸DMC_632</t>
  </si>
  <si>
    <t>Y938</t>
  </si>
  <si>
    <t>刺繍糸DMC_640</t>
  </si>
  <si>
    <t>368/367</t>
  </si>
  <si>
    <t>Y937</t>
  </si>
  <si>
    <t>刺繍糸DMC_642</t>
  </si>
  <si>
    <t>Y936</t>
  </si>
  <si>
    <t>刺繍糸DMC_644</t>
  </si>
  <si>
    <t>895/894</t>
  </si>
  <si>
    <t>Y965</t>
  </si>
  <si>
    <t>刺繍糸DMC_645</t>
  </si>
  <si>
    <t>894/893</t>
  </si>
  <si>
    <t>Y964</t>
  </si>
  <si>
    <t>刺繍糸DMC_646</t>
  </si>
  <si>
    <t>893/892</t>
  </si>
  <si>
    <t>Y963</t>
  </si>
  <si>
    <t>刺繍糸DMC_647</t>
  </si>
  <si>
    <t>892/713</t>
  </si>
  <si>
    <t>Y962</t>
  </si>
  <si>
    <t>刺繍糸DMC_648</t>
  </si>
  <si>
    <t>Y175</t>
  </si>
  <si>
    <t>刺繍糸DMC_666</t>
  </si>
  <si>
    <t>573/771</t>
  </si>
  <si>
    <t>Y772</t>
  </si>
  <si>
    <t>刺繍糸DMC_676</t>
  </si>
  <si>
    <t>Y751</t>
  </si>
  <si>
    <t>刺繍糸DMC_677</t>
  </si>
  <si>
    <t>576/575</t>
  </si>
  <si>
    <t>Y774</t>
  </si>
  <si>
    <t>刺繍糸DMC_680</t>
  </si>
  <si>
    <t>265/200</t>
  </si>
  <si>
    <t>Y646</t>
  </si>
  <si>
    <t>刺繍糸DMC_699</t>
  </si>
  <si>
    <t>229/228</t>
  </si>
  <si>
    <t>Y645</t>
  </si>
  <si>
    <t>刺繍糸DMC_700</t>
  </si>
  <si>
    <t>Y644</t>
  </si>
  <si>
    <t>刺繍糸DMC_701</t>
  </si>
  <si>
    <t>226/225</t>
  </si>
  <si>
    <t>Y643</t>
  </si>
  <si>
    <t>刺繍糸DMC_702</t>
  </si>
  <si>
    <t>Y642</t>
  </si>
  <si>
    <t>刺繍糸DMC_703</t>
  </si>
  <si>
    <t>271/269</t>
  </si>
  <si>
    <t>Y641</t>
  </si>
  <si>
    <t>刺繍糸DMC_704</t>
  </si>
  <si>
    <t>1000/634</t>
  </si>
  <si>
    <t>Y871</t>
  </si>
  <si>
    <t>刺繍糸DMC_712</t>
  </si>
  <si>
    <t>245/484</t>
  </si>
  <si>
    <t>Y284</t>
  </si>
  <si>
    <t>刺繍糸DMC_718</t>
  </si>
  <si>
    <t>Y794</t>
  </si>
  <si>
    <t>刺繍糸DMC_720</t>
  </si>
  <si>
    <t>Y793</t>
  </si>
  <si>
    <t>刺繍糸DMC_721</t>
  </si>
  <si>
    <t>Y792</t>
  </si>
  <si>
    <t>刺繍糸DMC_722</t>
  </si>
  <si>
    <t>306/305</t>
  </si>
  <si>
    <t>2702/701</t>
  </si>
  <si>
    <t>Y114</t>
  </si>
  <si>
    <t>刺繍糸DMC_725</t>
  </si>
  <si>
    <t>305/295</t>
  </si>
  <si>
    <t>702/700</t>
  </si>
  <si>
    <t>Y113</t>
  </si>
  <si>
    <t>刺繍糸DMC_726</t>
  </si>
  <si>
    <t>Y112</t>
  </si>
  <si>
    <t>刺繍糸DMC_727</t>
  </si>
  <si>
    <t>575/574</t>
  </si>
  <si>
    <t>Y773</t>
  </si>
  <si>
    <t>刺繍糸DMC_729</t>
  </si>
  <si>
    <t>826/687</t>
  </si>
  <si>
    <t>Y715</t>
  </si>
  <si>
    <t>刺繍糸DMC_730</t>
  </si>
  <si>
    <t>731(廃色)近似色732</t>
  </si>
  <si>
    <t>Y714</t>
  </si>
  <si>
    <t>刺繍糸DMC_731</t>
  </si>
  <si>
    <t>824/685</t>
  </si>
  <si>
    <t>Y713</t>
  </si>
  <si>
    <t>刺繍糸DMC_732</t>
  </si>
  <si>
    <t>Y712</t>
  </si>
  <si>
    <t>刺繍糸DMC_733</t>
  </si>
  <si>
    <t>Y711</t>
  </si>
  <si>
    <t>刺繍糸DMC_734</t>
  </si>
  <si>
    <t>361/367</t>
  </si>
  <si>
    <t>Y873</t>
  </si>
  <si>
    <t>刺繍糸DMC_738</t>
  </si>
  <si>
    <t>366/885</t>
  </si>
  <si>
    <t>Y872</t>
  </si>
  <si>
    <t>刺繍糸DMC_739</t>
  </si>
  <si>
    <t>Y127</t>
  </si>
  <si>
    <t>刺繍糸DMC_740</t>
  </si>
  <si>
    <t>304/314</t>
  </si>
  <si>
    <t>146/753</t>
  </si>
  <si>
    <t>Y126</t>
  </si>
  <si>
    <t>刺繍糸DMC_741</t>
  </si>
  <si>
    <t>Y125</t>
  </si>
  <si>
    <t>刺繍糸DMC_742</t>
  </si>
  <si>
    <t>Y124</t>
  </si>
  <si>
    <t>刺繍糸DMC_743</t>
  </si>
  <si>
    <t>Y123</t>
  </si>
  <si>
    <t>刺繍糸DMC_744</t>
  </si>
  <si>
    <t>Y122</t>
  </si>
  <si>
    <t>刺繍糸DMC_745</t>
  </si>
  <si>
    <t>140/297</t>
  </si>
  <si>
    <t>Y771</t>
  </si>
  <si>
    <t>刺繍糸DMC_746</t>
  </si>
  <si>
    <t>562/251</t>
  </si>
  <si>
    <t>Y501</t>
  </si>
  <si>
    <t>刺繍糸DMC_747</t>
  </si>
  <si>
    <t>336/1012</t>
  </si>
  <si>
    <t>341/833</t>
  </si>
  <si>
    <t>Y832</t>
  </si>
  <si>
    <t>刺繍糸DMC_754</t>
  </si>
  <si>
    <t>868/882</t>
  </si>
  <si>
    <t>462/426</t>
  </si>
  <si>
    <t>Y833</t>
  </si>
  <si>
    <t>刺繍糸DMC_758</t>
  </si>
  <si>
    <t>853/854</t>
  </si>
  <si>
    <t>Y153</t>
  </si>
  <si>
    <t>刺繍糸DMC_760</t>
  </si>
  <si>
    <t>24/1021</t>
  </si>
  <si>
    <t>582/851</t>
  </si>
  <si>
    <t>Y152</t>
  </si>
  <si>
    <t>刺繍糸DMC_761</t>
  </si>
  <si>
    <t>151/472</t>
  </si>
  <si>
    <t>Y971</t>
  </si>
  <si>
    <t>刺繍糸DMC_762</t>
  </si>
  <si>
    <t>Y631</t>
  </si>
  <si>
    <t>刺繍糸DMC_772</t>
  </si>
  <si>
    <t>162/521</t>
  </si>
  <si>
    <t>Y452</t>
  </si>
  <si>
    <t>刺繍糸DMC_775</t>
  </si>
  <si>
    <t>776(廃色)近似色3326</t>
  </si>
  <si>
    <t>104/353</t>
  </si>
  <si>
    <t>Y243</t>
  </si>
  <si>
    <t>刺繍糸DMC_776</t>
  </si>
  <si>
    <t>969/968</t>
  </si>
  <si>
    <t>Y321</t>
  </si>
  <si>
    <t>刺繍糸DMC_778</t>
  </si>
  <si>
    <t>Y764</t>
  </si>
  <si>
    <t>刺繍糸DMC_780</t>
  </si>
  <si>
    <t>781(廃色)近似色782</t>
  </si>
  <si>
    <t>Y763</t>
  </si>
  <si>
    <t>刺繍糸DMC_781</t>
  </si>
  <si>
    <t>Y762</t>
  </si>
  <si>
    <t>刺繍糸DMC_782</t>
  </si>
  <si>
    <t>Y761</t>
  </si>
  <si>
    <t>刺繍糸DMC_783</t>
  </si>
  <si>
    <t>178/123</t>
  </si>
  <si>
    <t>Y415</t>
  </si>
  <si>
    <t>刺繍糸DMC_791</t>
  </si>
  <si>
    <t>177/941</t>
  </si>
  <si>
    <t>Y414</t>
  </si>
  <si>
    <t>刺繍糸DMC_792</t>
  </si>
  <si>
    <t>939/176</t>
  </si>
  <si>
    <t>Y412</t>
  </si>
  <si>
    <t>刺繍糸DMC_793</t>
  </si>
  <si>
    <t>117/175</t>
  </si>
  <si>
    <t>Y411</t>
  </si>
  <si>
    <t>刺繍糸DMC_794</t>
  </si>
  <si>
    <t>134/133</t>
  </si>
  <si>
    <t>Y436</t>
  </si>
  <si>
    <t>刺繍糸DMC_796</t>
  </si>
  <si>
    <t>139/132</t>
  </si>
  <si>
    <t>215/2664</t>
  </si>
  <si>
    <t>Y435</t>
  </si>
  <si>
    <t>刺繍糸DMC_797</t>
  </si>
  <si>
    <t>131/137</t>
  </si>
  <si>
    <t>214/2214</t>
  </si>
  <si>
    <t>Y434</t>
  </si>
  <si>
    <t>刺繍糸DMC_798</t>
  </si>
  <si>
    <t>136/130</t>
  </si>
  <si>
    <t>213/2662</t>
  </si>
  <si>
    <t>Y433</t>
  </si>
  <si>
    <t>刺繍糸DMC_799</t>
  </si>
  <si>
    <t>159/144</t>
  </si>
  <si>
    <t>Y431</t>
  </si>
  <si>
    <t>刺繍糸DMC_800</t>
  </si>
  <si>
    <t>Y879</t>
  </si>
  <si>
    <t>刺繍糸DMC_801</t>
  </si>
  <si>
    <t>806(廃色)近似色3760</t>
  </si>
  <si>
    <t>376/375</t>
  </si>
  <si>
    <t>Y504</t>
  </si>
  <si>
    <t>刺繍糸DMC_806</t>
  </si>
  <si>
    <t>1039/168</t>
  </si>
  <si>
    <t>Y503</t>
  </si>
  <si>
    <t>刺繍糸DMC_807</t>
  </si>
  <si>
    <t>Y432</t>
  </si>
  <si>
    <t>刺繍糸DMC_809</t>
  </si>
  <si>
    <t>140/161</t>
  </si>
  <si>
    <t>253/412</t>
  </si>
  <si>
    <t>Y443</t>
  </si>
  <si>
    <t>刺繍糸DMC_813</t>
  </si>
  <si>
    <t>Y181</t>
  </si>
  <si>
    <t>刺繍糸DMC_814</t>
  </si>
  <si>
    <t>43/44</t>
  </si>
  <si>
    <t>Y180</t>
  </si>
  <si>
    <t>刺繍糸DMC_815</t>
  </si>
  <si>
    <t>1005/20</t>
  </si>
  <si>
    <t>Y179</t>
  </si>
  <si>
    <t>刺繍糸DMC_816</t>
  </si>
  <si>
    <t>Y166</t>
  </si>
  <si>
    <t>刺繍糸DMC_817</t>
  </si>
  <si>
    <t>103/221</t>
  </si>
  <si>
    <t>Y242</t>
  </si>
  <si>
    <t>刺繍糸DMC_818</t>
  </si>
  <si>
    <t>101/220</t>
  </si>
  <si>
    <t>Y241</t>
  </si>
  <si>
    <t>刺繍糸DMC_819</t>
  </si>
  <si>
    <t>133/134</t>
  </si>
  <si>
    <t>Y437</t>
  </si>
  <si>
    <t>刺繍糸DMC_820</t>
  </si>
  <si>
    <t>Y935</t>
  </si>
  <si>
    <t>刺繍糸DMC_822</t>
  </si>
  <si>
    <t>169/667</t>
  </si>
  <si>
    <t>Y462</t>
  </si>
  <si>
    <t>刺繍糸DMC_823</t>
  </si>
  <si>
    <t>143/164</t>
  </si>
  <si>
    <t>Y446</t>
  </si>
  <si>
    <t>刺繍糸DMC_824</t>
  </si>
  <si>
    <t>Y445</t>
  </si>
  <si>
    <t>刺繍糸DMC_825</t>
  </si>
  <si>
    <t>Y444</t>
  </si>
  <si>
    <t>刺繍糸DMC_826</t>
  </si>
  <si>
    <t>144/159</t>
  </si>
  <si>
    <t>252/411</t>
  </si>
  <si>
    <t>Y442</t>
  </si>
  <si>
    <t>刺繍糸DMC_827</t>
  </si>
  <si>
    <t>975/9159</t>
  </si>
  <si>
    <t>2251/2211</t>
  </si>
  <si>
    <t>Y441</t>
  </si>
  <si>
    <t>刺繍糸DMC_828</t>
  </si>
  <si>
    <t>Y736</t>
  </si>
  <si>
    <t>刺繍糸DMC_829</t>
  </si>
  <si>
    <t>775/826</t>
  </si>
  <si>
    <t>Y735</t>
  </si>
  <si>
    <t>刺繍糸DMC_830</t>
  </si>
  <si>
    <t>774/825</t>
  </si>
  <si>
    <t>Y734</t>
  </si>
  <si>
    <t>刺繍糸DMC_831</t>
  </si>
  <si>
    <t>773/823</t>
  </si>
  <si>
    <t>Y733</t>
  </si>
  <si>
    <t>刺繍糸DMC_832</t>
  </si>
  <si>
    <t>772/822</t>
  </si>
  <si>
    <t>Y732</t>
  </si>
  <si>
    <t>刺繍糸DMC_833</t>
  </si>
  <si>
    <t>945/874</t>
  </si>
  <si>
    <t>Y731</t>
  </si>
  <si>
    <t>刺繍糸DMC_834</t>
  </si>
  <si>
    <t>1088/380</t>
  </si>
  <si>
    <t>386/2311</t>
  </si>
  <si>
    <t>Y915</t>
  </si>
  <si>
    <t>刺繍糸DMC_838</t>
  </si>
  <si>
    <t>2311/385</t>
  </si>
  <si>
    <t>Y914</t>
  </si>
  <si>
    <t>刺繍糸DMC_839</t>
  </si>
  <si>
    <t>1084/379</t>
  </si>
  <si>
    <t>Y913</t>
  </si>
  <si>
    <t>刺繍糸DMC_840</t>
  </si>
  <si>
    <t>1082/378</t>
  </si>
  <si>
    <t>383/2424</t>
  </si>
  <si>
    <t>Y912</t>
  </si>
  <si>
    <t>刺繍糸DMC_841</t>
  </si>
  <si>
    <t>1080/388</t>
  </si>
  <si>
    <t>380/306</t>
  </si>
  <si>
    <t>Y911</t>
  </si>
  <si>
    <t>刺繍糸DMC_842</t>
  </si>
  <si>
    <t>Y967</t>
  </si>
  <si>
    <t>刺繍糸DMC_844</t>
  </si>
  <si>
    <t>944/375</t>
  </si>
  <si>
    <t>Y755</t>
  </si>
  <si>
    <t>刺繍糸DMC_869</t>
  </si>
  <si>
    <t>320/2536</t>
  </si>
  <si>
    <t>Y617</t>
  </si>
  <si>
    <t>刺繍糸DMC_890</t>
  </si>
  <si>
    <t>35/29</t>
  </si>
  <si>
    <t>206/240</t>
  </si>
  <si>
    <t>Y204</t>
  </si>
  <si>
    <t>刺繍糸DMC_891</t>
  </si>
  <si>
    <t>Y203</t>
  </si>
  <si>
    <t>刺繍糸DMC_892</t>
  </si>
  <si>
    <t>27/41</t>
  </si>
  <si>
    <t>205/2114</t>
  </si>
  <si>
    <t>154/106</t>
  </si>
  <si>
    <t>Y202</t>
  </si>
  <si>
    <t>刺繍糸DMC_893</t>
  </si>
  <si>
    <t>1082/105</t>
  </si>
  <si>
    <t>Y201</t>
  </si>
  <si>
    <t>刺繍糸DMC_894</t>
  </si>
  <si>
    <t>Y636</t>
  </si>
  <si>
    <t>刺繍糸DMC_895</t>
  </si>
  <si>
    <t>Y880</t>
  </si>
  <si>
    <t>刺繍糸DMC_898</t>
  </si>
  <si>
    <t>Y245</t>
  </si>
  <si>
    <t>刺繍糸DMC_899</t>
  </si>
  <si>
    <t>758/445</t>
  </si>
  <si>
    <t>Y137</t>
  </si>
  <si>
    <t>刺繍糸DMC_900</t>
  </si>
  <si>
    <t>Y327</t>
  </si>
  <si>
    <t>刺繍糸DMC_902</t>
  </si>
  <si>
    <t>328/329</t>
  </si>
  <si>
    <t>Y654</t>
  </si>
  <si>
    <t>刺繍糸DMC_904</t>
  </si>
  <si>
    <t>Y653</t>
  </si>
  <si>
    <t>刺繍糸DMC_905</t>
  </si>
  <si>
    <t>Y652</t>
  </si>
  <si>
    <t>刺繍糸DMC_906</t>
  </si>
  <si>
    <t>Y651</t>
  </si>
  <si>
    <t>刺繍糸DMC_907</t>
  </si>
  <si>
    <t>Y607</t>
  </si>
  <si>
    <t>刺繍糸DMC_909</t>
  </si>
  <si>
    <t>228/229</t>
  </si>
  <si>
    <t>Y606</t>
  </si>
  <si>
    <t>刺繍糸DMC_910</t>
  </si>
  <si>
    <t>Y605</t>
  </si>
  <si>
    <t>刺繍糸DMC_911</t>
  </si>
  <si>
    <t>Y604</t>
  </si>
  <si>
    <t>刺繍糸DMC_912</t>
  </si>
  <si>
    <t>Y603</t>
  </si>
  <si>
    <t>刺繍糸DMC_913</t>
  </si>
  <si>
    <t>Y286</t>
  </si>
  <si>
    <t>刺繍糸DMC_915</t>
  </si>
  <si>
    <t>88/78/94</t>
  </si>
  <si>
    <t>Y285</t>
  </si>
  <si>
    <t>刺繍糸DMC_917</t>
  </si>
  <si>
    <t>341/211</t>
  </si>
  <si>
    <t>Y799</t>
  </si>
  <si>
    <t>刺繍糸DMC_918</t>
  </si>
  <si>
    <t>Y798</t>
  </si>
  <si>
    <t>刺繍糸DMC_919</t>
  </si>
  <si>
    <t>1004/339</t>
  </si>
  <si>
    <t>188/406</t>
  </si>
  <si>
    <t>Y797</t>
  </si>
  <si>
    <t>刺繍糸DMC_920</t>
  </si>
  <si>
    <t>2186/405</t>
  </si>
  <si>
    <t>Y796</t>
  </si>
  <si>
    <t>刺繍糸DMC_921</t>
  </si>
  <si>
    <t>186/3185</t>
  </si>
  <si>
    <t>Y795</t>
  </si>
  <si>
    <t>刺繍糸DMC_922</t>
  </si>
  <si>
    <t>984/983</t>
  </si>
  <si>
    <t>Y585</t>
  </si>
  <si>
    <t>刺繍糸DMC_924</t>
  </si>
  <si>
    <t>Y583</t>
  </si>
  <si>
    <t>刺繍糸DMC_926</t>
  </si>
  <si>
    <t>848/849</t>
  </si>
  <si>
    <t>Y582</t>
  </si>
  <si>
    <t>刺繍糸DMC_927</t>
  </si>
  <si>
    <t>Y581</t>
  </si>
  <si>
    <t>刺繍糸DMC_928</t>
  </si>
  <si>
    <t>1035/922</t>
  </si>
  <si>
    <t>Y475</t>
  </si>
  <si>
    <t>刺繍糸DMC_930</t>
  </si>
  <si>
    <t>921/1034</t>
  </si>
  <si>
    <t>Y474</t>
  </si>
  <si>
    <t>刺繍糸DMC_931</t>
  </si>
  <si>
    <t>920/1033</t>
  </si>
  <si>
    <t>Y473</t>
  </si>
  <si>
    <t>刺繍糸DMC_932</t>
  </si>
  <si>
    <t>Y668</t>
  </si>
  <si>
    <t>刺繍糸DMC_934</t>
  </si>
  <si>
    <t>263/861</t>
  </si>
  <si>
    <t>636/637</t>
  </si>
  <si>
    <t>Y667</t>
  </si>
  <si>
    <t>刺繍糸DMC_935</t>
  </si>
  <si>
    <t>846/269</t>
  </si>
  <si>
    <t>Y666</t>
  </si>
  <si>
    <t>刺繍糸DMC_936</t>
  </si>
  <si>
    <t>635/926</t>
  </si>
  <si>
    <t>Y665</t>
  </si>
  <si>
    <t>刺繍糸DMC_937</t>
  </si>
  <si>
    <t>2311/312</t>
  </si>
  <si>
    <t>Y881</t>
  </si>
  <si>
    <t>刺繍糸DMC_938</t>
  </si>
  <si>
    <t>169/669</t>
  </si>
  <si>
    <t>Y463</t>
  </si>
  <si>
    <t>刺繍糸DMC_939</t>
  </si>
  <si>
    <t>900/901</t>
  </si>
  <si>
    <t>Y536</t>
  </si>
  <si>
    <t>刺繍糸DMC_943</t>
  </si>
  <si>
    <t>340/402</t>
  </si>
  <si>
    <t>Y803</t>
  </si>
  <si>
    <t>刺繍糸DMC_945</t>
  </si>
  <si>
    <t>445/444</t>
  </si>
  <si>
    <t>Y136</t>
  </si>
  <si>
    <t>刺繍糸DMC_946</t>
  </si>
  <si>
    <t>754/443</t>
  </si>
  <si>
    <t>Y135</t>
  </si>
  <si>
    <t>刺繍糸DMC_947</t>
  </si>
  <si>
    <t>340/832</t>
  </si>
  <si>
    <t>Y831</t>
  </si>
  <si>
    <t>刺繍糸DMC_948</t>
  </si>
  <si>
    <t>126/424/td&gt;</t>
  </si>
  <si>
    <t>Y852</t>
  </si>
  <si>
    <t>刺繍糸DMC_950</t>
  </si>
  <si>
    <t>1010/366</t>
  </si>
  <si>
    <t>Y802</t>
  </si>
  <si>
    <t>刺繍糸DMC_951</t>
  </si>
  <si>
    <t>334/896</t>
  </si>
  <si>
    <t>Y602</t>
  </si>
  <si>
    <t>刺繍糸DMC_954</t>
  </si>
  <si>
    <t>Y601</t>
  </si>
  <si>
    <t>刺繍糸DMC_955</t>
  </si>
  <si>
    <t>41/28</t>
  </si>
  <si>
    <t>Y212</t>
  </si>
  <si>
    <t>刺繍糸DMC_956</t>
  </si>
  <si>
    <t>31/50</t>
  </si>
  <si>
    <t>Y211</t>
  </si>
  <si>
    <t>刺繍糸DMC_957</t>
  </si>
  <si>
    <t>Y533</t>
  </si>
  <si>
    <t>刺繍糸DMC_958</t>
  </si>
  <si>
    <t>Y532</t>
  </si>
  <si>
    <t>刺繍糸DMC_959</t>
  </si>
  <si>
    <t>Y224</t>
  </si>
  <si>
    <t>刺繍糸DMC_961</t>
  </si>
  <si>
    <t>Y223</t>
  </si>
  <si>
    <t>刺繍糸DMC_962</t>
  </si>
  <si>
    <t>23/73</t>
  </si>
  <si>
    <t>102/116</t>
  </si>
  <si>
    <t>Y221</t>
  </si>
  <si>
    <t>刺繍糸DMC_963</t>
  </si>
  <si>
    <t>1092/185</t>
  </si>
  <si>
    <t>Y531</t>
  </si>
  <si>
    <t>刺繍糸DMC_964</t>
  </si>
  <si>
    <t>Y612</t>
  </si>
  <si>
    <t>刺繍糸DMC_966</t>
  </si>
  <si>
    <t>147/442</t>
  </si>
  <si>
    <t>Y134</t>
  </si>
  <si>
    <t>刺繍糸DMC_970</t>
  </si>
  <si>
    <t>971(廃色)近似色740</t>
  </si>
  <si>
    <t>147/441</t>
  </si>
  <si>
    <t>Y133</t>
  </si>
  <si>
    <t>刺繍糸DMC_971</t>
  </si>
  <si>
    <t>Y132</t>
  </si>
  <si>
    <t>刺繍糸DMC_972</t>
  </si>
  <si>
    <t>290/297</t>
  </si>
  <si>
    <t>300/301</t>
  </si>
  <si>
    <t>Y131</t>
  </si>
  <si>
    <t>刺繍糸DMC_973</t>
  </si>
  <si>
    <t>371/355</t>
  </si>
  <si>
    <t>Y825</t>
  </si>
  <si>
    <t>刺繍糸DMC_975</t>
  </si>
  <si>
    <t>129/706</t>
  </si>
  <si>
    <t>Y823</t>
  </si>
  <si>
    <t>刺繍糸DMC_976</t>
  </si>
  <si>
    <t>1002/313</t>
  </si>
  <si>
    <t>145/704</t>
  </si>
  <si>
    <t>Y822</t>
  </si>
  <si>
    <t>刺繍糸DMC_977</t>
  </si>
  <si>
    <t>Y624</t>
  </si>
  <si>
    <t>刺繍糸DMC_986</t>
  </si>
  <si>
    <t>244/245</t>
  </si>
  <si>
    <t>Y623</t>
  </si>
  <si>
    <t>刺繍糸DMC_987</t>
  </si>
  <si>
    <t>Y622</t>
  </si>
  <si>
    <t>刺繍糸DMC_988</t>
  </si>
  <si>
    <t>241/242</t>
  </si>
  <si>
    <t>Y621</t>
  </si>
  <si>
    <t>刺繍糸DMC_989</t>
  </si>
  <si>
    <t>1076/189</t>
  </si>
  <si>
    <t>Y544</t>
  </si>
  <si>
    <t>刺繍糸DMC_991</t>
  </si>
  <si>
    <t>844/899</t>
  </si>
  <si>
    <t>Y542</t>
  </si>
  <si>
    <t>刺繍糸DMC_992</t>
  </si>
  <si>
    <t>843/987</t>
  </si>
  <si>
    <t>Y541</t>
  </si>
  <si>
    <t>刺繍糸DMC_993</t>
  </si>
  <si>
    <t>415/414</t>
  </si>
  <si>
    <t>Y483</t>
  </si>
  <si>
    <t>刺繍糸DMC_995</t>
  </si>
  <si>
    <t>433/1090</t>
  </si>
  <si>
    <t>413/2412</t>
  </si>
  <si>
    <t>Y481</t>
  </si>
  <si>
    <t>刺繍糸DMC_996</t>
  </si>
  <si>
    <t>845/846</t>
  </si>
  <si>
    <t>Y723</t>
  </si>
  <si>
    <t>刺繍糸DMC_3011</t>
  </si>
  <si>
    <t>844/843</t>
  </si>
  <si>
    <t>684/683</t>
  </si>
  <si>
    <t>Y722</t>
  </si>
  <si>
    <t>刺繍糸DMC_3012</t>
  </si>
  <si>
    <t>683/682</t>
  </si>
  <si>
    <t>Y721</t>
  </si>
  <si>
    <t>刺繍糸DMC_3013</t>
  </si>
  <si>
    <t>Y955</t>
  </si>
  <si>
    <t>刺繍糸DMC_3021</t>
  </si>
  <si>
    <t>715/714</t>
  </si>
  <si>
    <t>Y953</t>
  </si>
  <si>
    <t>刺繍糸DMC_3022</t>
  </si>
  <si>
    <t>714/715</t>
  </si>
  <si>
    <t>Y952</t>
  </si>
  <si>
    <t>刺繍糸DMC_3023</t>
  </si>
  <si>
    <t>713/712</t>
  </si>
  <si>
    <t>Y951</t>
  </si>
  <si>
    <t>刺繍糸DMC_3024</t>
  </si>
  <si>
    <t>312/311</t>
  </si>
  <si>
    <t>Y923</t>
  </si>
  <si>
    <t>刺繍糸DMC_3031</t>
  </si>
  <si>
    <t>Y944</t>
  </si>
  <si>
    <t>刺繍糸DMC_3032</t>
  </si>
  <si>
    <t>Y942</t>
  </si>
  <si>
    <t>刺繍糸DMC_3033</t>
  </si>
  <si>
    <t>763/764</t>
  </si>
  <si>
    <t>Y333</t>
  </si>
  <si>
    <t>刺繍糸DMC_3041</t>
  </si>
  <si>
    <t>762/2762</t>
  </si>
  <si>
    <t>Y332</t>
  </si>
  <si>
    <t>刺繍糸DMC_3042</t>
  </si>
  <si>
    <t>307/773</t>
  </si>
  <si>
    <t>Y748</t>
  </si>
  <si>
    <t>刺繍糸DMC_3045</t>
  </si>
  <si>
    <t>771/772</t>
  </si>
  <si>
    <t>Y747</t>
  </si>
  <si>
    <t>刺繍糸DMC_3046</t>
  </si>
  <si>
    <t>853/852</t>
  </si>
  <si>
    <t>Y746</t>
  </si>
  <si>
    <t>刺繍糸DMC_3047</t>
  </si>
  <si>
    <t>Y673</t>
  </si>
  <si>
    <t>刺繍糸DMC_3051</t>
  </si>
  <si>
    <t>Y672</t>
  </si>
  <si>
    <t>刺繍糸DMC_3052</t>
  </si>
  <si>
    <t>858/261</t>
  </si>
  <si>
    <t>Y671</t>
  </si>
  <si>
    <t>刺繍糸DMC_3053</t>
  </si>
  <si>
    <t>914/347</t>
  </si>
  <si>
    <t>Y854</t>
  </si>
  <si>
    <t>刺繍糸DMC_3064</t>
  </si>
  <si>
    <t>Y961</t>
  </si>
  <si>
    <t>刺繍糸DMC_3072</t>
  </si>
  <si>
    <t>141/298</t>
  </si>
  <si>
    <t>Y111</t>
  </si>
  <si>
    <t>刺繍糸DMC_3078</t>
  </si>
  <si>
    <t>163/522</t>
  </si>
  <si>
    <t>Y454</t>
  </si>
  <si>
    <t>刺繍糸DMC_3325</t>
  </si>
  <si>
    <t>105/354</t>
  </si>
  <si>
    <t>Y244</t>
  </si>
  <si>
    <t>刺繍糸DMC_3326</t>
  </si>
  <si>
    <t>855/814</t>
  </si>
  <si>
    <t>Y155</t>
  </si>
  <si>
    <t>刺繍糸DMC_3328</t>
  </si>
  <si>
    <t>Y788</t>
  </si>
  <si>
    <t>刺繍糸DMC_3340</t>
  </si>
  <si>
    <t>328/336</t>
  </si>
  <si>
    <t>Y787</t>
  </si>
  <si>
    <t>刺繍糸DMC_3341</t>
  </si>
  <si>
    <t>Y635</t>
  </si>
  <si>
    <t>刺繍糸DMC_3345</t>
  </si>
  <si>
    <t>Y634</t>
  </si>
  <si>
    <t>刺繍糸DMC_3346</t>
  </si>
  <si>
    <t>Y633</t>
  </si>
  <si>
    <t>刺繍糸DMC_3347</t>
  </si>
  <si>
    <t>118/324</t>
  </si>
  <si>
    <t>Y632</t>
  </si>
  <si>
    <t>刺繍糸DMC_3348</t>
  </si>
  <si>
    <t>59/65</t>
  </si>
  <si>
    <t>323/815</t>
  </si>
  <si>
    <t>210/122</t>
  </si>
  <si>
    <t>Y254</t>
  </si>
  <si>
    <t>刺繍糸DMC_3350</t>
  </si>
  <si>
    <t>815/813</t>
  </si>
  <si>
    <t>1035/119</t>
  </si>
  <si>
    <t>Y251</t>
  </si>
  <si>
    <t>刺繍糸DMC_3354</t>
  </si>
  <si>
    <t>Y703</t>
  </si>
  <si>
    <t>刺繍糸DMC_3362</t>
  </si>
  <si>
    <t>Y702</t>
  </si>
  <si>
    <t>刺繍糸DMC_3363</t>
  </si>
  <si>
    <t>Y701</t>
  </si>
  <si>
    <t>刺繍糸DMC_3364</t>
  </si>
  <si>
    <t>Y882</t>
  </si>
  <si>
    <t>刺繍糸DMC_3371</t>
  </si>
  <si>
    <t>Y283</t>
  </si>
  <si>
    <t>刺繍糸DMC_3607</t>
  </si>
  <si>
    <t>60/96</t>
  </si>
  <si>
    <t>Y282</t>
  </si>
  <si>
    <t>刺繍糸DMC_3608</t>
  </si>
  <si>
    <t>85/95</t>
  </si>
  <si>
    <t>Y281</t>
  </si>
  <si>
    <t>刺繍糸DMC_3609</t>
  </si>
  <si>
    <t>1028/70</t>
  </si>
  <si>
    <t>816/225</t>
  </si>
  <si>
    <t>Y305</t>
  </si>
  <si>
    <t>刺繍糸DMC_3685</t>
  </si>
  <si>
    <t>76/970</t>
  </si>
  <si>
    <t>814/223</t>
  </si>
  <si>
    <t>1904/121</t>
  </si>
  <si>
    <t>Y303</t>
  </si>
  <si>
    <t>刺繍糸DMC_3687</t>
  </si>
  <si>
    <t>813/482</t>
  </si>
  <si>
    <t>Y302</t>
  </si>
  <si>
    <t>刺繍糸DMC_3688</t>
  </si>
  <si>
    <t>811/222</t>
  </si>
  <si>
    <t>Y301</t>
  </si>
  <si>
    <t>刺繍糸DMC_3689</t>
  </si>
  <si>
    <t>Y173</t>
  </si>
  <si>
    <t>刺繍糸DMC_3705</t>
  </si>
  <si>
    <t>Y172</t>
  </si>
  <si>
    <t>刺繍糸DMC_3706</t>
  </si>
  <si>
    <t>Y171</t>
  </si>
  <si>
    <t>刺繍糸DMC_3708</t>
  </si>
  <si>
    <t>1024/1023</t>
  </si>
  <si>
    <t>Y154</t>
  </si>
  <si>
    <t>刺繍糸DMC_3712</t>
  </si>
  <si>
    <t>1021/1020</t>
  </si>
  <si>
    <t>Y151</t>
  </si>
  <si>
    <t>刺繍糸DMC_3713</t>
  </si>
  <si>
    <t>Y222</t>
  </si>
  <si>
    <t>刺繍糸DMC_3716</t>
  </si>
  <si>
    <t>Y315</t>
  </si>
  <si>
    <t>刺繍糸DMC_3721</t>
  </si>
  <si>
    <t>Y314</t>
  </si>
  <si>
    <t>刺繍糸DMC_3722</t>
  </si>
  <si>
    <t>Y324</t>
  </si>
  <si>
    <t>刺繍糸DMC_3726</t>
  </si>
  <si>
    <t>1017/1016</t>
  </si>
  <si>
    <t>Y322</t>
  </si>
  <si>
    <t>刺繍糸DMC_3727</t>
  </si>
  <si>
    <t>Y253</t>
  </si>
  <si>
    <t>刺繍糸DMC_3731</t>
  </si>
  <si>
    <t>Y252</t>
  </si>
  <si>
    <t>刺繍糸DMC_3733</t>
  </si>
  <si>
    <t>873/872</t>
  </si>
  <si>
    <t>Y334</t>
  </si>
  <si>
    <t>刺繍糸DMC_3740</t>
  </si>
  <si>
    <t>Y331</t>
  </si>
  <si>
    <t>刺繍糸DMC_3743</t>
  </si>
  <si>
    <t>Y404</t>
  </si>
  <si>
    <t>刺繍糸DMC_3746</t>
  </si>
  <si>
    <t>Y401</t>
  </si>
  <si>
    <t>刺繍糸DMC_3747</t>
  </si>
  <si>
    <t>Y476</t>
  </si>
  <si>
    <t>刺繍糸DMC_3750</t>
  </si>
  <si>
    <t>1033/1032</t>
  </si>
  <si>
    <t>Y472</t>
  </si>
  <si>
    <t>刺繍糸DMC_3752</t>
  </si>
  <si>
    <t>1032/1031</t>
  </si>
  <si>
    <t>Y471</t>
  </si>
  <si>
    <t>刺繍糸DMC_3753</t>
  </si>
  <si>
    <t>140/939</t>
  </si>
  <si>
    <t>Y455</t>
  </si>
  <si>
    <t>刺繍糸DMC_3755</t>
  </si>
  <si>
    <t>1037/128</t>
  </si>
  <si>
    <t>Y451</t>
  </si>
  <si>
    <t>刺繍糸DMC_3756</t>
  </si>
  <si>
    <t>Y494</t>
  </si>
  <si>
    <t>刺繍糸DMC_3760</t>
  </si>
  <si>
    <t>Y491</t>
  </si>
  <si>
    <t>刺繍糸DMC_3761</t>
  </si>
  <si>
    <t>169/170</t>
  </si>
  <si>
    <t>Y505</t>
  </si>
  <si>
    <t>刺繍糸DMC_3765</t>
  </si>
  <si>
    <t>Y502</t>
  </si>
  <si>
    <t>刺繍糸DMC_3766</t>
  </si>
  <si>
    <t>799/779</t>
  </si>
  <si>
    <t>Y584</t>
  </si>
  <si>
    <t>刺繍糸DMC_3768</t>
  </si>
  <si>
    <t>Y801</t>
  </si>
  <si>
    <t>刺繍糸DMC_3770</t>
  </si>
  <si>
    <t>Y856</t>
  </si>
  <si>
    <t>刺繍糸DMC_3772</t>
  </si>
  <si>
    <t>3773(廃色)近似色407</t>
  </si>
  <si>
    <t>Y853</t>
  </si>
  <si>
    <t>刺繍糸DMC_3773</t>
  </si>
  <si>
    <t>880/778</t>
  </si>
  <si>
    <t>Y851</t>
  </si>
  <si>
    <t>刺繍糸DMC_3774</t>
  </si>
  <si>
    <t>1048/376</t>
  </si>
  <si>
    <t>Y806</t>
  </si>
  <si>
    <t>刺繍糸DMC_3776</t>
  </si>
  <si>
    <t>Y838</t>
  </si>
  <si>
    <t>刺繍糸DMC_3777</t>
  </si>
  <si>
    <t>1013/337</t>
  </si>
  <si>
    <t>Y834</t>
  </si>
  <si>
    <t>刺繍糸DMC_3778</t>
  </si>
  <si>
    <t>Y841</t>
  </si>
  <si>
    <t>刺繍糸DMC_3779</t>
  </si>
  <si>
    <t>Y922</t>
  </si>
  <si>
    <t>Y943</t>
  </si>
  <si>
    <t>刺繍糸DMC_3782</t>
  </si>
  <si>
    <t>Y954</t>
  </si>
  <si>
    <t>刺繍糸DMC_3787</t>
  </si>
  <si>
    <t>404/393</t>
  </si>
  <si>
    <t>Y921</t>
  </si>
  <si>
    <t>刺繍糸DMC_3790</t>
  </si>
  <si>
    <t>Y977</t>
  </si>
  <si>
    <t>刺繍糸DMC_3799</t>
  </si>
  <si>
    <t>Y174</t>
  </si>
  <si>
    <t>刺繍糸DMC_3801</t>
  </si>
  <si>
    <t>Y326</t>
  </si>
  <si>
    <t>刺繍糸DMC_3802</t>
  </si>
  <si>
    <t>69/972</t>
  </si>
  <si>
    <t>Y304</t>
  </si>
  <si>
    <t>刺繍糸DMC_3803</t>
  </si>
  <si>
    <t>Y263</t>
  </si>
  <si>
    <t>刺繍糸DMC_3804</t>
  </si>
  <si>
    <t>Y262</t>
  </si>
  <si>
    <t>刺繍糸DMC_3805</t>
  </si>
  <si>
    <t>Y261</t>
  </si>
  <si>
    <t>刺繍糸DMC_3806</t>
  </si>
  <si>
    <t>Y413</t>
  </si>
  <si>
    <t>刺繍糸DMC_3807</t>
  </si>
  <si>
    <t>Y516</t>
  </si>
  <si>
    <t>刺繍糸DMC_3808</t>
  </si>
  <si>
    <t>Y515</t>
  </si>
  <si>
    <t>刺繍糸DMC_3809</t>
  </si>
  <si>
    <t>Y514</t>
  </si>
  <si>
    <t>刺繍糸DMC_3810</t>
  </si>
  <si>
    <t>Y511</t>
  </si>
  <si>
    <t>刺繍糸DMC_3811</t>
  </si>
  <si>
    <t>Y534</t>
  </si>
  <si>
    <t>刺繍糸DMC_3812</t>
  </si>
  <si>
    <t>Y572</t>
  </si>
  <si>
    <t>刺繍糸DMC_3813</t>
  </si>
  <si>
    <t>Y543</t>
  </si>
  <si>
    <t>刺繍糸DMC_3814</t>
  </si>
  <si>
    <t>Y563</t>
  </si>
  <si>
    <t>刺繍糸DMC_3815</t>
  </si>
  <si>
    <t>Y562</t>
  </si>
  <si>
    <t>刺繍糸DMC_3816</t>
  </si>
  <si>
    <t>Y561</t>
  </si>
  <si>
    <t>刺繍糸DMC_3817</t>
  </si>
  <si>
    <t>Y608</t>
  </si>
  <si>
    <t>刺繍糸DMC_3818</t>
  </si>
  <si>
    <t>Y706</t>
  </si>
  <si>
    <t>刺繍糸DMC_3819</t>
  </si>
  <si>
    <t>Y783</t>
  </si>
  <si>
    <t>刺繍糸DMC_3820</t>
  </si>
  <si>
    <t>Y782</t>
  </si>
  <si>
    <t>刺繍糸DMC_3821</t>
  </si>
  <si>
    <t>Y781</t>
  </si>
  <si>
    <t>刺繍糸DMC_3822</t>
  </si>
  <si>
    <t>Y121</t>
  </si>
  <si>
    <t>刺繍糸DMC_3823</t>
  </si>
  <si>
    <t>Y786</t>
  </si>
  <si>
    <t>刺繍糸DMC_3824</t>
  </si>
  <si>
    <t>Y791</t>
  </si>
  <si>
    <t>刺繍糸DMC_3825</t>
  </si>
  <si>
    <t>Y824</t>
  </si>
  <si>
    <t>刺繍糸DMC_3826</t>
  </si>
  <si>
    <t>Y821</t>
  </si>
  <si>
    <t>刺繍糸DMC_3827</t>
  </si>
  <si>
    <t>Y753</t>
  </si>
  <si>
    <t>刺繍糸DMC_3828</t>
  </si>
  <si>
    <t>Y775</t>
  </si>
  <si>
    <t>刺繍糸DMC_3829</t>
  </si>
  <si>
    <t>Y836</t>
  </si>
  <si>
    <t>刺繍糸DMC_3830</t>
  </si>
  <si>
    <t>Y233</t>
  </si>
  <si>
    <t>刺繍糸DMC_3831</t>
  </si>
  <si>
    <t>Y232</t>
  </si>
  <si>
    <t>刺繍糸DMC_3832</t>
  </si>
  <si>
    <t>Y231</t>
  </si>
  <si>
    <t>刺繍糸DMC_3833</t>
  </si>
  <si>
    <t>Y343</t>
  </si>
  <si>
    <t>刺繍糸DMC_3834</t>
  </si>
  <si>
    <t>Y342</t>
  </si>
  <si>
    <t>刺繍糸DMC_3835</t>
  </si>
  <si>
    <t>Y341</t>
  </si>
  <si>
    <t>刺繍糸DMC_3836</t>
  </si>
  <si>
    <t>111/112</t>
  </si>
  <si>
    <t>Y365</t>
  </si>
  <si>
    <t>刺繍糸DMC_3837</t>
  </si>
  <si>
    <t>Y423</t>
  </si>
  <si>
    <t>刺繍糸DMC_3838</t>
  </si>
  <si>
    <t>Y422</t>
  </si>
  <si>
    <t>刺繍糸DMC_3839</t>
  </si>
  <si>
    <t>120/119</t>
  </si>
  <si>
    <t>Y421</t>
  </si>
  <si>
    <t>刺繍糸DMC_3840</t>
  </si>
  <si>
    <t>Y453</t>
  </si>
  <si>
    <t>刺繍糸DMC_3841</t>
  </si>
  <si>
    <t>Y496</t>
  </si>
  <si>
    <t>刺繍糸DMC_3842</t>
  </si>
  <si>
    <t>Y482</t>
  </si>
  <si>
    <t>刺繍糸DMC_3843</t>
  </si>
  <si>
    <t>Y488</t>
  </si>
  <si>
    <t>刺繍糸DMC_3844</t>
  </si>
  <si>
    <t>Y487</t>
  </si>
  <si>
    <t>刺繍糸DMC_3845</t>
  </si>
  <si>
    <t>Y486</t>
  </si>
  <si>
    <t>刺繍糸DMC_3846</t>
  </si>
  <si>
    <t>Y523</t>
  </si>
  <si>
    <t>刺繍糸DMC_3847</t>
  </si>
  <si>
    <t>Y522</t>
  </si>
  <si>
    <t>刺繍糸DMC_3848</t>
  </si>
  <si>
    <t>Y521</t>
  </si>
  <si>
    <t>刺繍糸DMC_3849</t>
  </si>
  <si>
    <t>Y537</t>
  </si>
  <si>
    <t>刺繍糸DMC_3850</t>
  </si>
  <si>
    <t>Y535</t>
  </si>
  <si>
    <t>刺繍糸DMC_3851</t>
  </si>
  <si>
    <t>Y784</t>
  </si>
  <si>
    <t>刺繍糸DMC_3852</t>
  </si>
  <si>
    <t>Y813</t>
  </si>
  <si>
    <t>刺繍糸DMC_3853</t>
  </si>
  <si>
    <t>Y812</t>
  </si>
  <si>
    <t>刺繍糸DMC_3854</t>
  </si>
  <si>
    <t>Y811</t>
  </si>
  <si>
    <t>刺繍糸DMC_3855</t>
  </si>
  <si>
    <t>Y804</t>
  </si>
  <si>
    <t>刺繍糸DMC_3856</t>
  </si>
  <si>
    <t>Y844</t>
  </si>
  <si>
    <t>刺繍糸DMC_3857</t>
  </si>
  <si>
    <t>Y843</t>
  </si>
  <si>
    <t>刺繍糸DMC_3858</t>
  </si>
  <si>
    <t>Y842</t>
  </si>
  <si>
    <t>刺繍糸DMC_3859</t>
  </si>
  <si>
    <t>Y867</t>
  </si>
  <si>
    <t>刺繍糸DMC_3860</t>
  </si>
  <si>
    <t>Y866</t>
  </si>
  <si>
    <t>刺繍糸DMC_3861</t>
  </si>
  <si>
    <t>Y904</t>
  </si>
  <si>
    <t>刺繍糸DMC_3862</t>
  </si>
  <si>
    <t>Y903</t>
  </si>
  <si>
    <t>刺繍糸DMC_3863</t>
  </si>
  <si>
    <t>Y902</t>
  </si>
  <si>
    <t>刺繍糸DMC_3864</t>
  </si>
  <si>
    <t>926/72</t>
  </si>
  <si>
    <t>Y933</t>
  </si>
  <si>
    <t>刺繍糸DMC_3865</t>
  </si>
  <si>
    <t>Y941</t>
  </si>
  <si>
    <t>刺繍糸DMC_3866</t>
  </si>
  <si>
    <t>B5200</t>
  </si>
  <si>
    <t>Y931</t>
  </si>
  <si>
    <t>刺繍糸DMC_B5200</t>
  </si>
  <si>
    <t>番号</t>
  </si>
  <si>
    <t>色</t>
  </si>
  <si>
    <t>RGB</t>
  </si>
  <si>
    <t>100C</t>
  </si>
  <si>
    <t>#F3ED86</t>
  </si>
  <si>
    <t>101C</t>
  </si>
  <si>
    <t>#F5EC62</t>
  </si>
  <si>
    <t>102C</t>
  </si>
  <si>
    <t>#FAE600</t>
  </si>
  <si>
    <t>Yellow C</t>
  </si>
  <si>
    <t>#FCE016</t>
  </si>
  <si>
    <t>103C</t>
  </si>
  <si>
    <t>#CAAD00</t>
  </si>
  <si>
    <t>104C</t>
  </si>
  <si>
    <t>#AC9600</t>
  </si>
  <si>
    <t>105C</t>
  </si>
  <si>
    <t>#817214</t>
  </si>
  <si>
    <t>106C</t>
  </si>
  <si>
    <t>#F6E761</t>
  </si>
  <si>
    <t>107C</t>
  </si>
  <si>
    <t>#FAE22F</t>
  </si>
  <si>
    <t>108C</t>
  </si>
  <si>
    <t>#FEDB00</t>
  </si>
  <si>
    <t>109C</t>
  </si>
  <si>
    <t>#FFD100</t>
  </si>
  <si>
    <t>110C</t>
  </si>
  <si>
    <t>#DBAE00</t>
  </si>
  <si>
    <t>111C</t>
  </si>
  <si>
    <t>#AF8F00</t>
  </si>
  <si>
    <t>112C</t>
  </si>
  <si>
    <t>#998000</t>
  </si>
  <si>
    <t>113C</t>
  </si>
  <si>
    <t>#FAE15A</t>
  </si>
  <si>
    <t>114C</t>
  </si>
  <si>
    <t>#FAE051</t>
  </si>
  <si>
    <t>115C</t>
  </si>
  <si>
    <t>#FBDE4A</t>
  </si>
  <si>
    <t>116C</t>
  </si>
  <si>
    <t>#FFCE00</t>
  </si>
  <si>
    <t>117C</t>
  </si>
  <si>
    <t>#CE9D00</t>
  </si>
  <si>
    <t>118C</t>
  </si>
  <si>
    <t>#B38A00</t>
  </si>
  <si>
    <t>119C</t>
  </si>
  <si>
    <t>#8A761A</t>
  </si>
  <si>
    <t>120C</t>
  </si>
  <si>
    <t>#F9DF79</t>
  </si>
  <si>
    <t>121C</t>
  </si>
  <si>
    <t>#FBDB6E</t>
  </si>
  <si>
    <t>122C</t>
  </si>
  <si>
    <t>#FDD44F</t>
  </si>
  <si>
    <t>123C</t>
  </si>
  <si>
    <t>#FFC726</t>
  </si>
  <si>
    <t>124C</t>
  </si>
  <si>
    <t>#EBAB00</t>
  </si>
  <si>
    <t>125C</t>
  </si>
  <si>
    <t>#BB8900</t>
  </si>
  <si>
    <t>126C</t>
  </si>
  <si>
    <t>#A17C00</t>
  </si>
  <si>
    <t>127C</t>
  </si>
  <si>
    <t>#EFDF85</t>
  </si>
  <si>
    <t>128C</t>
  </si>
  <si>
    <t>#F2D65E</t>
  </si>
  <si>
    <t>129C</t>
  </si>
  <si>
    <t>#F1CD44</t>
  </si>
  <si>
    <t>130C</t>
  </si>
  <si>
    <t>#F1AB00</t>
  </si>
  <si>
    <t>131C</t>
  </si>
  <si>
    <t>#D49100</t>
  </si>
  <si>
    <t>132C</t>
  </si>
  <si>
    <t>#A67A00</t>
  </si>
  <si>
    <t>133C</t>
  </si>
  <si>
    <t>#715913</t>
  </si>
  <si>
    <t>134C</t>
  </si>
  <si>
    <t>#F8D583</t>
  </si>
  <si>
    <t>135C</t>
  </si>
  <si>
    <t>#FEC85A</t>
  </si>
  <si>
    <t>136C</t>
  </si>
  <si>
    <t>#FFBC3A</t>
  </si>
  <si>
    <t>137C</t>
  </si>
  <si>
    <t>#FF9F00</t>
  </si>
  <si>
    <t>138C</t>
  </si>
  <si>
    <t>#E47F00</t>
  </si>
  <si>
    <t>139C</t>
  </si>
  <si>
    <t>#B67100</t>
  </si>
  <si>
    <t>140C</t>
  </si>
  <si>
    <t>#7A560F</t>
  </si>
  <si>
    <t>141C</t>
  </si>
  <si>
    <t>#EFC868</t>
  </si>
  <si>
    <t>142C</t>
  </si>
  <si>
    <t>#F1BB46</t>
  </si>
  <si>
    <t>143C</t>
  </si>
  <si>
    <t>#EFAA23</t>
  </si>
  <si>
    <t>144C</t>
  </si>
  <si>
    <t>#ED8000</t>
  </si>
  <si>
    <t>145C</t>
  </si>
  <si>
    <t>#CF7600</t>
  </si>
  <si>
    <t>146C</t>
  </si>
  <si>
    <t>#9F6000</t>
  </si>
  <si>
    <t>147C</t>
  </si>
  <si>
    <t>#715821</t>
  </si>
  <si>
    <t>148C</t>
  </si>
  <si>
    <t>#FBD09D</t>
  </si>
  <si>
    <t>149C</t>
  </si>
  <si>
    <t>#FEC688</t>
  </si>
  <si>
    <t>150C</t>
  </si>
  <si>
    <t>#FFA94F</t>
  </si>
  <si>
    <t>151C</t>
  </si>
  <si>
    <t>#FF7300</t>
  </si>
  <si>
    <t>152C</t>
  </si>
  <si>
    <t>#E76F00</t>
  </si>
  <si>
    <t>153C</t>
  </si>
  <si>
    <t>#C06600</t>
  </si>
  <si>
    <t>154C</t>
  </si>
  <si>
    <t>#995409</t>
  </si>
  <si>
    <t>155C</t>
  </si>
  <si>
    <t>#ECD6AF</t>
  </si>
  <si>
    <t>156C</t>
  </si>
  <si>
    <t>#EFC18A</t>
  </si>
  <si>
    <t>157C</t>
  </si>
  <si>
    <t>#ED9B4F</t>
  </si>
  <si>
    <t>158C</t>
  </si>
  <si>
    <t>#E96B10</t>
  </si>
  <si>
    <t>159C</t>
  </si>
  <si>
    <t>#CD5806</t>
  </si>
  <si>
    <t>160C</t>
  </si>
  <si>
    <t>#A24E12</t>
  </si>
  <si>
    <t>161C</t>
  </si>
  <si>
    <t>#613517</t>
  </si>
  <si>
    <t>162C</t>
  </si>
  <si>
    <t>#FDC3AA</t>
  </si>
  <si>
    <t>163C</t>
  </si>
  <si>
    <t>#FF9C71</t>
  </si>
  <si>
    <t>164C</t>
  </si>
  <si>
    <t>#FF7E43</t>
  </si>
  <si>
    <t>165C</t>
  </si>
  <si>
    <t>#FF5F00</t>
  </si>
  <si>
    <t>166C</t>
  </si>
  <si>
    <t>#E55300</t>
  </si>
  <si>
    <t>167C</t>
  </si>
  <si>
    <t>#C2510F</t>
  </si>
  <si>
    <t>168C</t>
  </si>
  <si>
    <t>#6F3014</t>
  </si>
  <si>
    <t>169C</t>
  </si>
  <si>
    <t>#FFB6B1</t>
  </si>
  <si>
    <t>170C</t>
  </si>
  <si>
    <t>#FF897B</t>
  </si>
  <si>
    <t>171C</t>
  </si>
  <si>
    <t>#FF6141</t>
  </si>
  <si>
    <t>172C</t>
  </si>
  <si>
    <t>#FD4703</t>
  </si>
  <si>
    <t>173C</t>
  </si>
  <si>
    <t>#D84519</t>
  </si>
  <si>
    <t>174C</t>
  </si>
  <si>
    <t>#9A3416</t>
  </si>
  <si>
    <t>175C</t>
  </si>
  <si>
    <t>#703222</t>
  </si>
  <si>
    <t>176C</t>
  </si>
  <si>
    <t>#FFACB9</t>
  </si>
  <si>
    <t>177C</t>
  </si>
  <si>
    <t>#FF818C</t>
  </si>
  <si>
    <t>178C</t>
  </si>
  <si>
    <t>#FF5B60</t>
  </si>
  <si>
    <t>Warm Red C</t>
  </si>
  <si>
    <t>#F93F26</t>
  </si>
  <si>
    <t>179C</t>
  </si>
  <si>
    <t>#E23828</t>
  </si>
  <si>
    <t>180C</t>
  </si>
  <si>
    <t>#C0362C</t>
  </si>
  <si>
    <t>181C</t>
  </si>
  <si>
    <t>#792720</t>
  </si>
  <si>
    <t>182C</t>
  </si>
  <si>
    <t>#F8B8CB</t>
  </si>
  <si>
    <t>183C</t>
  </si>
  <si>
    <t>#FC8DA9</t>
  </si>
  <si>
    <t>184C</t>
  </si>
  <si>
    <t>#F85D7E</t>
  </si>
  <si>
    <t>185C</t>
  </si>
  <si>
    <t>#EA0437</t>
  </si>
  <si>
    <t>186C</t>
  </si>
  <si>
    <t>#D21034</t>
  </si>
  <si>
    <t>187C</t>
  </si>
  <si>
    <t>#B31B34</t>
  </si>
  <si>
    <t>188C</t>
  </si>
  <si>
    <t>#7C2230</t>
  </si>
  <si>
    <t>189C</t>
  </si>
  <si>
    <t>#F8A1BE</t>
  </si>
  <si>
    <t>190C</t>
  </si>
  <si>
    <t>#F8779E</t>
  </si>
  <si>
    <t>191C</t>
  </si>
  <si>
    <t>#F23F72</t>
  </si>
  <si>
    <t>192C</t>
  </si>
  <si>
    <t>#E90649</t>
  </si>
  <si>
    <t>193C</t>
  </si>
  <si>
    <t>#C30C3E</t>
  </si>
  <si>
    <t>194C</t>
  </si>
  <si>
    <t>#9C1E3D</t>
  </si>
  <si>
    <t>195C</t>
  </si>
  <si>
    <t>#773141</t>
  </si>
  <si>
    <t>196C</t>
  </si>
  <si>
    <t>#EBC6D3</t>
  </si>
  <si>
    <t>197C</t>
  </si>
  <si>
    <t>#EB9BB2</t>
  </si>
  <si>
    <t>198C</t>
  </si>
  <si>
    <t>#E44D6F</t>
  </si>
  <si>
    <t>199C</t>
  </si>
  <si>
    <t>#DB0C41</t>
  </si>
  <si>
    <t>200C</t>
  </si>
  <si>
    <t>#C10435</t>
  </si>
  <si>
    <t>201C</t>
  </si>
  <si>
    <t>#9E1B34</t>
  </si>
  <si>
    <t>202C</t>
  </si>
  <si>
    <t>#892034</t>
  </si>
  <si>
    <t>203C</t>
  </si>
  <si>
    <t>#EBADCD</t>
  </si>
  <si>
    <t>204C</t>
  </si>
  <si>
    <t>#E87BAC</t>
  </si>
  <si>
    <t>205C</t>
  </si>
  <si>
    <t>#E34585</t>
  </si>
  <si>
    <t>206C</t>
  </si>
  <si>
    <t>#D7004D</t>
  </si>
  <si>
    <t>207C</t>
  </si>
  <si>
    <t>#B10042</t>
  </si>
  <si>
    <t>208C</t>
  </si>
  <si>
    <t>#902147</t>
  </si>
  <si>
    <t>209C</t>
  </si>
  <si>
    <t>#752641</t>
  </si>
  <si>
    <t>210C</t>
  </si>
  <si>
    <t>#FA9FCC</t>
  </si>
  <si>
    <t>211C</t>
  </si>
  <si>
    <t>#F97DB8</t>
  </si>
  <si>
    <t>212C</t>
  </si>
  <si>
    <t>#F34E9A</t>
  </si>
  <si>
    <t>213C</t>
  </si>
  <si>
    <t>#E61577</t>
  </si>
  <si>
    <t>214C</t>
  </si>
  <si>
    <t>#D00063</t>
  </si>
  <si>
    <t>215C</t>
  </si>
  <si>
    <t>#AA1054</t>
  </si>
  <si>
    <t>216C</t>
  </si>
  <si>
    <t>#7A1D42</t>
  </si>
  <si>
    <t>217C</t>
  </si>
  <si>
    <t>#ECBBDD</t>
  </si>
  <si>
    <t>218C</t>
  </si>
  <si>
    <t>#E86FB8</t>
  </si>
  <si>
    <t>219C</t>
  </si>
  <si>
    <t>#E0218A</t>
  </si>
  <si>
    <t>Rubine Red C</t>
  </si>
  <si>
    <t>#D10056</t>
  </si>
  <si>
    <t>220C</t>
  </si>
  <si>
    <t>#AE0055</t>
  </si>
  <si>
    <t>221C</t>
  </si>
  <si>
    <t>#96004B</t>
  </si>
  <si>
    <t>222C</t>
  </si>
  <si>
    <t>#6A1A41</t>
  </si>
  <si>
    <t>223C</t>
  </si>
  <si>
    <t>#F293D1</t>
  </si>
  <si>
    <t>224C</t>
  </si>
  <si>
    <t>#EF6ABF</t>
  </si>
  <si>
    <t>225C</t>
  </si>
  <si>
    <t>#E5239D</t>
  </si>
  <si>
    <t>226C</t>
  </si>
  <si>
    <t>#D60077</t>
  </si>
  <si>
    <t>227C</t>
  </si>
  <si>
    <t>#AE005F</t>
  </si>
  <si>
    <t>228C</t>
  </si>
  <si>
    <t>#8A0753</t>
  </si>
  <si>
    <t>229C</t>
  </si>
  <si>
    <t>#6A1D44</t>
  </si>
  <si>
    <t>230C</t>
  </si>
  <si>
    <t>#F7A7DB</t>
  </si>
  <si>
    <t>231C</t>
  </si>
  <si>
    <t>#F575C9</t>
  </si>
  <si>
    <t>232C</t>
  </si>
  <si>
    <t>#EF40B0</t>
  </si>
  <si>
    <t>Rhodamine Red C</t>
  </si>
  <si>
    <t>#ED0091</t>
  </si>
  <si>
    <t>233C</t>
  </si>
  <si>
    <t>#C90081</t>
  </si>
  <si>
    <t>234C</t>
  </si>
  <si>
    <t>#A6006B</t>
  </si>
  <si>
    <t>235C</t>
  </si>
  <si>
    <t>#890857</t>
  </si>
  <si>
    <t>236C</t>
  </si>
  <si>
    <t>#F2B0DF</t>
  </si>
  <si>
    <t>237C</t>
  </si>
  <si>
    <t>#EE86D3</t>
  </si>
  <si>
    <t>238C</t>
  </si>
  <si>
    <t>#E653BC</t>
  </si>
  <si>
    <t>239C</t>
  </si>
  <si>
    <t>#E032AF</t>
  </si>
  <si>
    <t>240C</t>
  </si>
  <si>
    <t>#C41E99</t>
  </si>
  <si>
    <t>241C</t>
  </si>
  <si>
    <t>#AC0481</t>
  </si>
  <si>
    <t>242C</t>
  </si>
  <si>
    <t>#7A1A57</t>
  </si>
  <si>
    <t>243C</t>
  </si>
  <si>
    <t>#E8B7E5</t>
  </si>
  <si>
    <t>244C</t>
  </si>
  <si>
    <t>#E6A2E0</t>
  </si>
  <si>
    <t>245C</t>
  </si>
  <si>
    <t>#DF81D6</t>
  </si>
  <si>
    <t>246C</t>
  </si>
  <si>
    <t>#C70BAC</t>
  </si>
  <si>
    <t>247C</t>
  </si>
  <si>
    <t>#B3009D</t>
  </si>
  <si>
    <t>248C</t>
  </si>
  <si>
    <t>#9E0389</t>
  </si>
  <si>
    <t>249C</t>
  </si>
  <si>
    <t>#7B2266</t>
  </si>
  <si>
    <t>250C</t>
  </si>
  <si>
    <t>#E3C0E6</t>
  </si>
  <si>
    <t>251C</t>
  </si>
  <si>
    <t>#D99CE1</t>
  </si>
  <si>
    <t>252C</t>
  </si>
  <si>
    <t>#CA65D1</t>
  </si>
  <si>
    <t>Purple C</t>
  </si>
  <si>
    <t>#BF30B5</t>
  </si>
  <si>
    <t>253C</t>
  </si>
  <si>
    <t>#A91BB0</t>
  </si>
  <si>
    <t>254C</t>
  </si>
  <si>
    <t>#962399</t>
  </si>
  <si>
    <t>255C</t>
  </si>
  <si>
    <t>#70266C</t>
  </si>
  <si>
    <t>256C</t>
  </si>
  <si>
    <t>#D9BFE0</t>
  </si>
  <si>
    <t>257C</t>
  </si>
  <si>
    <t>#CBA4D4</t>
  </si>
  <si>
    <t>258C</t>
  </si>
  <si>
    <t>#92499E</t>
  </si>
  <si>
    <t>259C</t>
  </si>
  <si>
    <t>#6C1B72</t>
  </si>
  <si>
    <t>260C</t>
  </si>
  <si>
    <t>#5F1D5F</t>
  </si>
  <si>
    <t>261C</t>
  </si>
  <si>
    <t>#591E55</t>
  </si>
  <si>
    <t>262C</t>
  </si>
  <si>
    <t>#4F2248</t>
  </si>
  <si>
    <t>263C</t>
  </si>
  <si>
    <t>#D8CBEB</t>
  </si>
  <si>
    <t>264C</t>
  </si>
  <si>
    <t>#BCA8E6</t>
  </si>
  <si>
    <t>265C</t>
  </si>
  <si>
    <t>#8D65D2</t>
  </si>
  <si>
    <t>266C</t>
  </si>
  <si>
    <t>#6732BA</t>
  </si>
  <si>
    <t>267C</t>
  </si>
  <si>
    <t>#4F1F91</t>
  </si>
  <si>
    <t>268C</t>
  </si>
  <si>
    <t>#4A217E</t>
  </si>
  <si>
    <t>269C</t>
  </si>
  <si>
    <t>#452663</t>
  </si>
  <si>
    <t>270C</t>
  </si>
  <si>
    <t>#ADACDC</t>
  </si>
  <si>
    <t>271C</t>
  </si>
  <si>
    <t>#9490D2</t>
  </si>
  <si>
    <t>272C</t>
  </si>
  <si>
    <t>#7973C2</t>
  </si>
  <si>
    <t>273C</t>
  </si>
  <si>
    <t>#25177A</t>
  </si>
  <si>
    <t>274C</t>
  </si>
  <si>
    <t>#211265</t>
  </si>
  <si>
    <t>275C</t>
  </si>
  <si>
    <t>#1D1157</t>
  </si>
  <si>
    <t>276C</t>
  </si>
  <si>
    <t>#241A44</t>
  </si>
  <si>
    <t>277C</t>
  </si>
  <si>
    <t>#B5D1E8</t>
  </si>
  <si>
    <t>278C</t>
  </si>
  <si>
    <t>#8CB4E8</t>
  </si>
  <si>
    <t>279C</t>
  </si>
  <si>
    <t>#4189DD</t>
  </si>
  <si>
    <t>Reflex Blue C</t>
  </si>
  <si>
    <t>#0C1C8C</t>
  </si>
  <si>
    <t>280C</t>
  </si>
  <si>
    <t>#00267F</t>
  </si>
  <si>
    <t>281C</t>
  </si>
  <si>
    <t>#002569</t>
  </si>
  <si>
    <t>282C</t>
  </si>
  <si>
    <t>#00204E</t>
  </si>
  <si>
    <t>283C</t>
  </si>
  <si>
    <t>#93BFEB</t>
  </si>
  <si>
    <t>284C</t>
  </si>
  <si>
    <t>#6CABE7</t>
  </si>
  <si>
    <t>285C</t>
  </si>
  <si>
    <t>#0077D4</t>
  </si>
  <si>
    <t>286C</t>
  </si>
  <si>
    <t>#0035AD</t>
  </si>
  <si>
    <t>287C</t>
  </si>
  <si>
    <t>#003798</t>
  </si>
  <si>
    <t>288C</t>
  </si>
  <si>
    <t>#003082</t>
  </si>
  <si>
    <t>289C</t>
  </si>
  <si>
    <t>#00234C</t>
  </si>
  <si>
    <t>290C</t>
  </si>
  <si>
    <t>#BED9ED</t>
  </si>
  <si>
    <t>291C</t>
  </si>
  <si>
    <t>#A4CEEC</t>
  </si>
  <si>
    <t>292C</t>
  </si>
  <si>
    <t>#6AB2E7</t>
  </si>
  <si>
    <t>293C</t>
  </si>
  <si>
    <t>#0047B6</t>
  </si>
  <si>
    <t>294C</t>
  </si>
  <si>
    <t>#003580</t>
  </si>
  <si>
    <t>295C</t>
  </si>
  <si>
    <t>#002D62</t>
  </si>
  <si>
    <t>296C</t>
  </si>
  <si>
    <t>#002740</t>
  </si>
  <si>
    <t>297C</t>
  </si>
  <si>
    <t>#78C7EB</t>
  </si>
  <si>
    <t>298C</t>
  </si>
  <si>
    <t>#42B4E6</t>
  </si>
  <si>
    <t>299C</t>
  </si>
  <si>
    <t>#00A0E2</t>
  </si>
  <si>
    <t>300C</t>
  </si>
  <si>
    <t>#0067C6</t>
  </si>
  <si>
    <t>301C</t>
  </si>
  <si>
    <t>#00529B</t>
  </si>
  <si>
    <t>302C</t>
  </si>
  <si>
    <t>#00436E</t>
  </si>
  <si>
    <t>303C</t>
  </si>
  <si>
    <t>#00344D</t>
  </si>
  <si>
    <t>304C</t>
  </si>
  <si>
    <t>#A2DBEB</t>
  </si>
  <si>
    <t>305C</t>
  </si>
  <si>
    <t>#53CAEB</t>
  </si>
  <si>
    <t>306C</t>
  </si>
  <si>
    <t>#00B5E6</t>
  </si>
  <si>
    <t>Process Blue C</t>
  </si>
  <si>
    <t>#0091C9</t>
  </si>
  <si>
    <t>307C</t>
  </si>
  <si>
    <t>#0070B2</t>
  </si>
  <si>
    <t>308C</t>
  </si>
  <si>
    <t>#005883</t>
  </si>
  <si>
    <t>309C</t>
  </si>
  <si>
    <t>#003947</t>
  </si>
  <si>
    <t>310C</t>
  </si>
  <si>
    <t>#66CFE6</t>
  </si>
  <si>
    <t>311C</t>
  </si>
  <si>
    <t>#00C2E3</t>
  </si>
  <si>
    <t>312C</t>
  </si>
  <si>
    <t>#00A7D4</t>
  </si>
  <si>
    <t>313C</t>
  </si>
  <si>
    <t>#0092C7</t>
  </si>
  <si>
    <t>314C</t>
  </si>
  <si>
    <t>#007FAC</t>
  </si>
  <si>
    <t>315C</t>
  </si>
  <si>
    <t>#006685</t>
  </si>
  <si>
    <t>316C</t>
  </si>
  <si>
    <t>#004650</t>
  </si>
  <si>
    <t>317C</t>
  </si>
  <si>
    <t>#BFE5EA</t>
  </si>
  <si>
    <t>318C</t>
  </si>
  <si>
    <t>#8EDBE5</t>
  </si>
  <si>
    <t>319C</t>
  </si>
  <si>
    <t>#36CCDA</t>
  </si>
  <si>
    <t>320C</t>
  </si>
  <si>
    <t>#0097AC</t>
  </si>
  <si>
    <t>321C</t>
  </si>
  <si>
    <t>#008193</t>
  </si>
  <si>
    <t>322C</t>
  </si>
  <si>
    <t>#006F7A</t>
  </si>
  <si>
    <t>323C</t>
  </si>
  <si>
    <t>#006068</t>
  </si>
  <si>
    <t>324C</t>
  </si>
  <si>
    <t>#98D9DB</t>
  </si>
  <si>
    <t>325C</t>
  </si>
  <si>
    <t>#47C7C7</t>
  </si>
  <si>
    <t>326C</t>
  </si>
  <si>
    <t>#00AFAD</t>
  </si>
  <si>
    <t>327C</t>
  </si>
  <si>
    <t>#008579</t>
  </si>
  <si>
    <t>328C</t>
  </si>
  <si>
    <t>#007168</t>
  </si>
  <si>
    <t>329C</t>
  </si>
  <si>
    <t>#00625A</t>
  </si>
  <si>
    <t>330C</t>
  </si>
  <si>
    <t>#00524D</t>
  </si>
  <si>
    <t>331C</t>
  </si>
  <si>
    <t>#B2E7DF</t>
  </si>
  <si>
    <t>332C</t>
  </si>
  <si>
    <t>#9FE4DB</t>
  </si>
  <si>
    <t>333C</t>
  </si>
  <si>
    <t>#43D9C7</t>
  </si>
  <si>
    <t>Green C</t>
  </si>
  <si>
    <t>#00AF93</t>
  </si>
  <si>
    <t>334C</t>
  </si>
  <si>
    <t>#009878</t>
  </si>
  <si>
    <t>335C</t>
  </si>
  <si>
    <t>#007B63</t>
  </si>
  <si>
    <t>336C</t>
  </si>
  <si>
    <t>#006651</t>
  </si>
  <si>
    <t>337C</t>
  </si>
  <si>
    <t>#94D8C8</t>
  </si>
  <si>
    <t>338C</t>
  </si>
  <si>
    <t>#76D1BD</t>
  </si>
  <si>
    <t>339C</t>
  </si>
  <si>
    <t>#00B08B</t>
  </si>
  <si>
    <t>340C</t>
  </si>
  <si>
    <t>#009460</t>
  </si>
  <si>
    <t>341C</t>
  </si>
  <si>
    <t>#007856</t>
  </si>
  <si>
    <t>342C</t>
  </si>
  <si>
    <t>#006A4E</t>
  </si>
  <si>
    <t>343C</t>
  </si>
  <si>
    <t>#00533E</t>
  </si>
  <si>
    <t>344C</t>
  </si>
  <si>
    <t>#A6DEC1</t>
  </si>
  <si>
    <t>345C</t>
  </si>
  <si>
    <t>#89D5AF</t>
  </si>
  <si>
    <t>346C</t>
  </si>
  <si>
    <t>#5EC998</t>
  </si>
  <si>
    <t>347C</t>
  </si>
  <si>
    <t>#009543</t>
  </si>
  <si>
    <t>348C</t>
  </si>
  <si>
    <t>#007E3A</t>
  </si>
  <si>
    <t>349C</t>
  </si>
  <si>
    <t>#006233</t>
  </si>
  <si>
    <t>350C</t>
  </si>
  <si>
    <t>#18472C</t>
  </si>
  <si>
    <t>351C</t>
  </si>
  <si>
    <t>#A7E6C4</t>
  </si>
  <si>
    <t>352C</t>
  </si>
  <si>
    <t>#87E0B0</t>
  </si>
  <si>
    <t>353C</t>
  </si>
  <si>
    <t>#6ADCA2</t>
  </si>
  <si>
    <t>354C</t>
  </si>
  <si>
    <t>#00AB39</t>
  </si>
  <si>
    <t>355C</t>
  </si>
  <si>
    <t>#009530</t>
  </si>
  <si>
    <t>356C</t>
  </si>
  <si>
    <t>#007229</t>
  </si>
  <si>
    <t>357C</t>
  </si>
  <si>
    <t>#0F4D2A</t>
  </si>
  <si>
    <t>358C</t>
  </si>
  <si>
    <t>#A5DB92</t>
  </si>
  <si>
    <t>359C</t>
  </si>
  <si>
    <t>#9FD98B</t>
  </si>
  <si>
    <t>360C</t>
  </si>
  <si>
    <t>#55BE47</t>
  </si>
  <si>
    <t>361C</t>
  </si>
  <si>
    <t>#12AD2B</t>
  </si>
  <si>
    <t>362C</t>
  </si>
  <si>
    <t>#289728</t>
  </si>
  <si>
    <t>363C</t>
  </si>
  <si>
    <t>#2F8927</t>
  </si>
  <si>
    <t>364C</t>
  </si>
  <si>
    <t>#317023</t>
  </si>
  <si>
    <t>365C</t>
  </si>
  <si>
    <t>#CCE5A2</t>
  </si>
  <si>
    <t>366C</t>
  </si>
  <si>
    <t>#BCE18D</t>
  </si>
  <si>
    <t>367C</t>
  </si>
  <si>
    <t>#A4D867</t>
  </si>
  <si>
    <t>368C</t>
  </si>
  <si>
    <t>#62BD19</t>
  </si>
  <si>
    <t>369C</t>
  </si>
  <si>
    <t>#4FA600</t>
  </si>
  <si>
    <t>370C</t>
  </si>
  <si>
    <t>#4F8A10</t>
  </si>
  <si>
    <t>371C</t>
  </si>
  <si>
    <t>#4A601C</t>
  </si>
  <si>
    <t>372C</t>
  </si>
  <si>
    <t>#D7E9A1</t>
  </si>
  <si>
    <t>373C</t>
  </si>
  <si>
    <t>#CDE985</t>
  </si>
  <si>
    <t>374C</t>
  </si>
  <si>
    <t>#BAE55F</t>
  </si>
  <si>
    <t>375C</t>
  </si>
  <si>
    <t>#87D300</t>
  </si>
  <si>
    <t>376C</t>
  </si>
  <si>
    <t>#76B900</t>
  </si>
  <si>
    <t>377C</t>
  </si>
  <si>
    <t>#679000</t>
  </si>
  <si>
    <t>378C</t>
  </si>
  <si>
    <t>#4D5A12</t>
  </si>
  <si>
    <t>379C</t>
  </si>
  <si>
    <t>#DDE56C</t>
  </si>
  <si>
    <t>380C</t>
  </si>
  <si>
    <t>#D3E13C</t>
  </si>
  <si>
    <t>381C</t>
  </si>
  <si>
    <t>#C8DB00</t>
  </si>
  <si>
    <t>382C</t>
  </si>
  <si>
    <t>#B9D300</t>
  </si>
  <si>
    <t>383C</t>
  </si>
  <si>
    <t>#9FAA00</t>
  </si>
  <si>
    <t>384C</t>
  </si>
  <si>
    <t>#8B9000</t>
  </si>
  <si>
    <t>385C</t>
  </si>
  <si>
    <t>#6E6A12</t>
  </si>
  <si>
    <t>386C</t>
  </si>
  <si>
    <t>#E5E96E</t>
  </si>
  <si>
    <t>387C</t>
  </si>
  <si>
    <t>#DEE63A</t>
  </si>
  <si>
    <t>388C</t>
  </si>
  <si>
    <t>#D7E300</t>
  </si>
  <si>
    <t>389C</t>
  </si>
  <si>
    <t>#C6DB00</t>
  </si>
  <si>
    <t>390C</t>
  </si>
  <si>
    <t>#B2BC00</t>
  </si>
  <si>
    <t>391C</t>
  </si>
  <si>
    <t>#959200</t>
  </si>
  <si>
    <t>392C</t>
  </si>
  <si>
    <t>#7F7800</t>
  </si>
  <si>
    <t>393C</t>
  </si>
  <si>
    <t>#EDEB8F</t>
  </si>
  <si>
    <t>394C</t>
  </si>
  <si>
    <t>#E9E73F</t>
  </si>
  <si>
    <t>395C</t>
  </si>
  <si>
    <t>#E4E400</t>
  </si>
  <si>
    <t>396C</t>
  </si>
  <si>
    <t>#DDDF00</t>
  </si>
  <si>
    <t>397C</t>
  </si>
  <si>
    <t>#BEB800</t>
  </si>
  <si>
    <t>398C</t>
  </si>
  <si>
    <t>#ABA200</t>
  </si>
  <si>
    <t>399C</t>
  </si>
  <si>
    <t>#998D00</t>
  </si>
  <si>
    <t>400C</t>
  </si>
  <si>
    <t>#CDC9C4</t>
  </si>
  <si>
    <t>401C</t>
  </si>
  <si>
    <t>#BDB8B1</t>
  </si>
  <si>
    <t>402C</t>
  </si>
  <si>
    <t>#ADA59D</t>
  </si>
  <si>
    <t>403C</t>
  </si>
  <si>
    <t>#988F86</t>
  </si>
  <si>
    <t>404C</t>
  </si>
  <si>
    <t>#7C7369</t>
  </si>
  <si>
    <t>405C</t>
  </si>
  <si>
    <t>#645A50</t>
  </si>
  <si>
    <t>Black C</t>
  </si>
  <si>
    <t>#3D332B</t>
  </si>
  <si>
    <t>406C</t>
  </si>
  <si>
    <t>#CAC4C2</t>
  </si>
  <si>
    <t>407C</t>
  </si>
  <si>
    <t>#B5ACA6</t>
  </si>
  <si>
    <t>408C</t>
  </si>
  <si>
    <t>#A59997</t>
  </si>
  <si>
    <t>409C</t>
  </si>
  <si>
    <t>#948683</t>
  </si>
  <si>
    <t>410C</t>
  </si>
  <si>
    <t>#7B6E6A</t>
  </si>
  <si>
    <t>411C</t>
  </si>
  <si>
    <t>#62524E</t>
  </si>
  <si>
    <t>412C</t>
  </si>
  <si>
    <t>#372B27</t>
  </si>
  <si>
    <t>413C</t>
  </si>
  <si>
    <t>#C8C9C3</t>
  </si>
  <si>
    <t>414C</t>
  </si>
  <si>
    <t>#B5B6B0</t>
  </si>
  <si>
    <t>415C</t>
  </si>
  <si>
    <t>#9D9D96</t>
  </si>
  <si>
    <t>416C</t>
  </si>
  <si>
    <t>#87887F</t>
  </si>
  <si>
    <t>417C</t>
  </si>
  <si>
    <t>#6E6F64</t>
  </si>
  <si>
    <t>418C</t>
  </si>
  <si>
    <t>#5A5B51</t>
  </si>
  <si>
    <t>419C</t>
  </si>
  <si>
    <t>#1F211C</t>
  </si>
  <si>
    <t>420C</t>
  </si>
  <si>
    <t>#CCCCCC</t>
  </si>
  <si>
    <t>421C</t>
  </si>
  <si>
    <t>#BABBBC</t>
  </si>
  <si>
    <t>422C</t>
  </si>
  <si>
    <t>#A9AAAB</t>
  </si>
  <si>
    <t>423C</t>
  </si>
  <si>
    <t>#939495</t>
  </si>
  <si>
    <t>424C</t>
  </si>
  <si>
    <t>#767A7D</t>
  </si>
  <si>
    <t>425C</t>
  </si>
  <si>
    <t>#56595C</t>
  </si>
  <si>
    <t>426C</t>
  </si>
  <si>
    <t>#212424</t>
  </si>
  <si>
    <t>427C</t>
  </si>
  <si>
    <t>#D2D6D9</t>
  </si>
  <si>
    <t>428C</t>
  </si>
  <si>
    <t>#C3C8CD</t>
  </si>
  <si>
    <t>429C</t>
  </si>
  <si>
    <t>#A8ADB4</t>
  </si>
  <si>
    <t>430C</t>
  </si>
  <si>
    <t>#868F98</t>
  </si>
  <si>
    <t>431C</t>
  </si>
  <si>
    <t>#616A74</t>
  </si>
  <si>
    <t>432C</t>
  </si>
  <si>
    <t>#414B56</t>
  </si>
  <si>
    <t>433C</t>
  </si>
  <si>
    <t>#212930</t>
  </si>
  <si>
    <t>434C</t>
  </si>
  <si>
    <t>#D3C9CE</t>
  </si>
  <si>
    <t>435C</t>
  </si>
  <si>
    <t>#C8BAC0</t>
  </si>
  <si>
    <t>436C</t>
  </si>
  <si>
    <t>#B7A6AD</t>
  </si>
  <si>
    <t>437C</t>
  </si>
  <si>
    <t>#846E74</t>
  </si>
  <si>
    <t>438C</t>
  </si>
  <si>
    <t>#513E3E</t>
  </si>
  <si>
    <t>439C</t>
  </si>
  <si>
    <t>#443535</t>
  </si>
  <si>
    <t>440C</t>
  </si>
  <si>
    <t>#392E2C</t>
  </si>
  <si>
    <t>441C</t>
  </si>
  <si>
    <t>#CBD1D4</t>
  </si>
  <si>
    <t>442C</t>
  </si>
  <si>
    <t>#B3BCC0</t>
  </si>
  <si>
    <t>443C</t>
  </si>
  <si>
    <t>#99A3A6</t>
  </si>
  <si>
    <t>444C</t>
  </si>
  <si>
    <t>#7B858A</t>
  </si>
  <si>
    <t>445C</t>
  </si>
  <si>
    <t>#4F5559</t>
  </si>
  <si>
    <t>446C</t>
  </si>
  <si>
    <t>#3D4242</t>
  </si>
  <si>
    <t>447C</t>
  </si>
  <si>
    <t>#323532</t>
  </si>
  <si>
    <t>448C</t>
  </si>
  <si>
    <t>#473E26</t>
  </si>
  <si>
    <t>449C</t>
  </si>
  <si>
    <t>#4D4325</t>
  </si>
  <si>
    <t>450C</t>
  </si>
  <si>
    <t>#514826</t>
  </si>
  <si>
    <t>451C</t>
  </si>
  <si>
    <t>#9F9B74</t>
  </si>
  <si>
    <t>452C</t>
  </si>
  <si>
    <t>#B5B292</t>
  </si>
  <si>
    <t>453C</t>
  </si>
  <si>
    <t>#C8C5AC</t>
  </si>
  <si>
    <t>454C</t>
  </si>
  <si>
    <t>#D5D3BF</t>
  </si>
  <si>
    <t>455C</t>
  </si>
  <si>
    <t>#655415</t>
  </si>
  <si>
    <t>456C</t>
  </si>
  <si>
    <t>#977F09</t>
  </si>
  <si>
    <t>457C</t>
  </si>
  <si>
    <t>#B29200</t>
  </si>
  <si>
    <t>458C</t>
  </si>
  <si>
    <t>#DBCA67</t>
  </si>
  <si>
    <t>459C</t>
  </si>
  <si>
    <t>#DFD27C</t>
  </si>
  <si>
    <t>460C</t>
  </si>
  <si>
    <t>#E5DB97</t>
  </si>
  <si>
    <t>461C</t>
  </si>
  <si>
    <t>#E7E3B5</t>
  </si>
  <si>
    <t>462C</t>
  </si>
  <si>
    <t>#563F23</t>
  </si>
  <si>
    <t>463C</t>
  </si>
  <si>
    <t>#6D4921</t>
  </si>
  <si>
    <t>464C</t>
  </si>
  <si>
    <t>#855723</t>
  </si>
  <si>
    <t>465C</t>
  </si>
  <si>
    <t>#B99C6B</t>
  </si>
  <si>
    <t>466C</t>
  </si>
  <si>
    <t>#CAB388</t>
  </si>
  <si>
    <t>467C</t>
  </si>
  <si>
    <t>#D5C4A1</t>
  </si>
  <si>
    <t>468C</t>
  </si>
  <si>
    <t>#E0D4BB</t>
  </si>
  <si>
    <t>469C</t>
  </si>
  <si>
    <t>#613418</t>
  </si>
  <si>
    <t>470C</t>
  </si>
  <si>
    <t>#9B4D1B</t>
  </si>
  <si>
    <t>471C</t>
  </si>
  <si>
    <t>#B75312</t>
  </si>
  <si>
    <t>472C</t>
  </si>
  <si>
    <t>#E49969</t>
  </si>
  <si>
    <t>473C</t>
  </si>
  <si>
    <t>#EDB996</t>
  </si>
  <si>
    <t>474C</t>
  </si>
  <si>
    <t>#EEC5A9</t>
  </si>
  <si>
    <t>475C</t>
  </si>
  <si>
    <t>#F0D0BB</t>
  </si>
  <si>
    <t>476C</t>
  </si>
  <si>
    <t>#513127</t>
  </si>
  <si>
    <t>477C</t>
  </si>
  <si>
    <t>#5E2F24</t>
  </si>
  <si>
    <t>478C</t>
  </si>
  <si>
    <t>#723629</t>
  </si>
  <si>
    <t>479C</t>
  </si>
  <si>
    <t>#AD806C</t>
  </si>
  <si>
    <t>480C</t>
  </si>
  <si>
    <t>#C8A99A</t>
  </si>
  <si>
    <t>481C</t>
  </si>
  <si>
    <t>#D5BDB0</t>
  </si>
  <si>
    <t>482C</t>
  </si>
  <si>
    <t>#DDCEC4</t>
  </si>
  <si>
    <t>483C</t>
  </si>
  <si>
    <t>#6A2E22</t>
  </si>
  <si>
    <t>484C</t>
  </si>
  <si>
    <t>#9F2D20</t>
  </si>
  <si>
    <t>485C</t>
  </si>
  <si>
    <t>#DC241F</t>
  </si>
  <si>
    <t>486C</t>
  </si>
  <si>
    <t>#EC9384</t>
  </si>
  <si>
    <t>487C</t>
  </si>
  <si>
    <t>#ECAB9D</t>
  </si>
  <si>
    <t>488C</t>
  </si>
  <si>
    <t>#ECBBAF</t>
  </si>
  <si>
    <t>489C</t>
  </si>
  <si>
    <t>#EBCDC3</t>
  </si>
  <si>
    <t>490C</t>
  </si>
  <si>
    <t>#5A272A</t>
  </si>
  <si>
    <t>491C</t>
  </si>
  <si>
    <t>#772B2F</t>
  </si>
  <si>
    <t>492C</t>
  </si>
  <si>
    <t>#91353B</t>
  </si>
  <si>
    <t>493C</t>
  </si>
  <si>
    <t>#D78396</t>
  </si>
  <si>
    <t>494C</t>
  </si>
  <si>
    <t>#E7A7B6</t>
  </si>
  <si>
    <t>495C</t>
  </si>
  <si>
    <t>#EDB8C5</t>
  </si>
  <si>
    <t>496C</t>
  </si>
  <si>
    <t>#EFC4CE</t>
  </si>
  <si>
    <t>497C</t>
  </si>
  <si>
    <t>#4E2A28</t>
  </si>
  <si>
    <t>498C</t>
  </si>
  <si>
    <t>#68322E</t>
  </si>
  <si>
    <t>499C</t>
  </si>
  <si>
    <t>#763931</t>
  </si>
  <si>
    <t>500C</t>
  </si>
  <si>
    <t>#C88691</t>
  </si>
  <si>
    <t>501C</t>
  </si>
  <si>
    <t>#DEACB7</t>
  </si>
  <si>
    <t>502C</t>
  </si>
  <si>
    <t>#E5BFC7</t>
  </si>
  <si>
    <t>503C</t>
  </si>
  <si>
    <t>#E9CCD2</t>
  </si>
  <si>
    <t>504C</t>
  </si>
  <si>
    <t>#4E2029</t>
  </si>
  <si>
    <t>505C</t>
  </si>
  <si>
    <t>#6E2639</t>
  </si>
  <si>
    <t>506C</t>
  </si>
  <si>
    <t>#7E2B42</t>
  </si>
  <si>
    <t>507C</t>
  </si>
  <si>
    <t>#D38DA6</t>
  </si>
  <si>
    <t>508C</t>
  </si>
  <si>
    <t>#E2ABBF</t>
  </si>
  <si>
    <t>509C</t>
  </si>
  <si>
    <t>#E7B9CA</t>
  </si>
  <si>
    <t>510C</t>
  </si>
  <si>
    <t>#E9C2D1</t>
  </si>
  <si>
    <t>511C</t>
  </si>
  <si>
    <t>#60244E</t>
  </si>
  <si>
    <t>512C</t>
  </si>
  <si>
    <t>#7E2271</t>
  </si>
  <si>
    <t>513C</t>
  </si>
  <si>
    <t>#95288F</t>
  </si>
  <si>
    <t>514C</t>
  </si>
  <si>
    <t>#D385C8</t>
  </si>
  <si>
    <t>515C</t>
  </si>
  <si>
    <t>#DFA5D6</t>
  </si>
  <si>
    <t>516C</t>
  </si>
  <si>
    <t>#E7BADF</t>
  </si>
  <si>
    <t>517C</t>
  </si>
  <si>
    <t>#EBCAE3</t>
  </si>
  <si>
    <t>518C</t>
  </si>
  <si>
    <t>#4B2A46</t>
  </si>
  <si>
    <t>519C</t>
  </si>
  <si>
    <t>#5A2D5F</t>
  </si>
  <si>
    <t>520C</t>
  </si>
  <si>
    <t>#682F73</t>
  </si>
  <si>
    <t>521C</t>
  </si>
  <si>
    <t>#AD85BA</t>
  </si>
  <si>
    <t>522C</t>
  </si>
  <si>
    <t>#BD9ECA</t>
  </si>
  <si>
    <t>523C</t>
  </si>
  <si>
    <t>#CBB2D5</t>
  </si>
  <si>
    <t>524C</t>
  </si>
  <si>
    <t>#DACCE1</t>
  </si>
  <si>
    <t>525C</t>
  </si>
  <si>
    <t>#51265A</t>
  </si>
  <si>
    <t>526C</t>
  </si>
  <si>
    <t>#61207F</t>
  </si>
  <si>
    <t>527C</t>
  </si>
  <si>
    <t>#6E20A0</t>
  </si>
  <si>
    <t>528C</t>
  </si>
  <si>
    <t>#A774CD</t>
  </si>
  <si>
    <t>529C</t>
  </si>
  <si>
    <t>#C6A4E1</t>
  </si>
  <si>
    <t>530C</t>
  </si>
  <si>
    <t>#CFB1E3</t>
  </si>
  <si>
    <t>531C</t>
  </si>
  <si>
    <t>#D7C4E7</t>
  </si>
  <si>
    <t>532C</t>
  </si>
  <si>
    <t>#262A39</t>
  </si>
  <si>
    <t>533C</t>
  </si>
  <si>
    <t>#253355</t>
  </si>
  <si>
    <t>534C</t>
  </si>
  <si>
    <t>#293F6F</t>
  </si>
  <si>
    <t>535C</t>
  </si>
  <si>
    <t>#95A1C3</t>
  </si>
  <si>
    <t>536C</t>
  </si>
  <si>
    <t>#A4B1CD</t>
  </si>
  <si>
    <t>537C</t>
  </si>
  <si>
    <t>#BDC6DA</t>
  </si>
  <si>
    <t>538C</t>
  </si>
  <si>
    <t>#D2D7E4</t>
  </si>
  <si>
    <t>539C</t>
  </si>
  <si>
    <t>#002A46</t>
  </si>
  <si>
    <t>540C</t>
  </si>
  <si>
    <t>#002F5D</t>
  </si>
  <si>
    <t>541C</t>
  </si>
  <si>
    <t>#003C79</t>
  </si>
  <si>
    <t>542C</t>
  </si>
  <si>
    <t>#5998C9</t>
  </si>
  <si>
    <t>543C</t>
  </si>
  <si>
    <t>#93B9DC</t>
  </si>
  <si>
    <t>544C</t>
  </si>
  <si>
    <t>#B1CBE5</t>
  </si>
  <si>
    <t>545C</t>
  </si>
  <si>
    <t>#BFD3E6</t>
  </si>
  <si>
    <t>546C</t>
  </si>
  <si>
    <t>#003440</t>
  </si>
  <si>
    <t>547C</t>
  </si>
  <si>
    <t>#003E51</t>
  </si>
  <si>
    <t>548C</t>
  </si>
  <si>
    <t>#004159</t>
  </si>
  <si>
    <t>549C</t>
  </si>
  <si>
    <t>#5B97B1</t>
  </si>
  <si>
    <t>550C</t>
  </si>
  <si>
    <t>#85B0C6</t>
  </si>
  <si>
    <t>551C</t>
  </si>
  <si>
    <t>#9FC1D3</t>
  </si>
  <si>
    <t>552C</t>
  </si>
  <si>
    <t>#B9D0DC</t>
  </si>
  <si>
    <t>553C</t>
  </si>
  <si>
    <t>#214232</t>
  </si>
  <si>
    <t>554C</t>
  </si>
  <si>
    <t>#24604A</t>
  </si>
  <si>
    <t>555C</t>
  </si>
  <si>
    <t>#13694E</t>
  </si>
  <si>
    <t>556C</t>
  </si>
  <si>
    <t>#74A18E</t>
  </si>
  <si>
    <t>557C</t>
  </si>
  <si>
    <t>#98BAAC</t>
  </si>
  <si>
    <t>558C</t>
  </si>
  <si>
    <t>#ACC7BD</t>
  </si>
  <si>
    <t>559C</t>
  </si>
  <si>
    <t>#C0D4CD</t>
  </si>
  <si>
    <t>560C</t>
  </si>
  <si>
    <t>#22483F</t>
  </si>
  <si>
    <t>561C</t>
  </si>
  <si>
    <t>#0F6259</t>
  </si>
  <si>
    <t>562C</t>
  </si>
  <si>
    <t>#007770</t>
  </si>
  <si>
    <t>563C</t>
  </si>
  <si>
    <t>#72B8B4</t>
  </si>
  <si>
    <t>564C</t>
  </si>
  <si>
    <t>#98CCC9</t>
  </si>
  <si>
    <t>565C</t>
  </si>
  <si>
    <t>#B9DCDA</t>
  </si>
  <si>
    <t>566C</t>
  </si>
  <si>
    <t>#CDE3E2</t>
  </si>
  <si>
    <t>567C</t>
  </si>
  <si>
    <t>#18453B</t>
  </si>
  <si>
    <t>569C</t>
  </si>
  <si>
    <t>#008478</t>
  </si>
  <si>
    <t>570C</t>
  </si>
  <si>
    <t>#76C6BE</t>
  </si>
  <si>
    <t>571C</t>
  </si>
  <si>
    <t>#9DD6CF</t>
  </si>
  <si>
    <t>572C</t>
  </si>
  <si>
    <t>#B4DEDB</t>
  </si>
  <si>
    <t>573C</t>
  </si>
  <si>
    <t>#C1E2DE</t>
  </si>
  <si>
    <t>574C</t>
  </si>
  <si>
    <t>#404F24</t>
  </si>
  <si>
    <t>575C</t>
  </si>
  <si>
    <t>#56732E</t>
  </si>
  <si>
    <t>576C</t>
  </si>
  <si>
    <t>#668E3C</t>
  </si>
  <si>
    <t>577C</t>
  </si>
  <si>
    <t>#B2C891</t>
  </si>
  <si>
    <t>578C</t>
  </si>
  <si>
    <t>#BDD0A0</t>
  </si>
  <si>
    <t>579C</t>
  </si>
  <si>
    <t>#C5D5A9</t>
  </si>
  <si>
    <t>580C</t>
  </si>
  <si>
    <t>#CFDDBB</t>
  </si>
  <si>
    <t>581C</t>
  </si>
  <si>
    <t>#605A12</t>
  </si>
  <si>
    <t>582C</t>
  </si>
  <si>
    <t>#888600</t>
  </si>
  <si>
    <t>583C</t>
  </si>
  <si>
    <t>#ABB400</t>
  </si>
  <si>
    <t>584C</t>
  </si>
  <si>
    <t>#CBD34C</t>
  </si>
  <si>
    <t>585C</t>
  </si>
  <si>
    <t>#D8DB6F</t>
  </si>
  <si>
    <t>586C</t>
  </si>
  <si>
    <t>#DDE18A</t>
  </si>
  <si>
    <t>587C</t>
  </si>
  <si>
    <t>#E2E59F</t>
  </si>
  <si>
    <t>600C</t>
  </si>
  <si>
    <t>#EEEBB6</t>
  </si>
  <si>
    <t>601C</t>
  </si>
  <si>
    <t>#EEEAA5</t>
  </si>
  <si>
    <t>602C</t>
  </si>
  <si>
    <t>#EEE88D</t>
  </si>
  <si>
    <t>603C</t>
  </si>
  <si>
    <t>#EDE25E</t>
  </si>
  <si>
    <t>604C</t>
  </si>
  <si>
    <t>#EADB1B</t>
  </si>
  <si>
    <t>605C</t>
  </si>
  <si>
    <t>#E0CA00</t>
  </si>
  <si>
    <t>606C</t>
  </si>
  <si>
    <t>#D8BD00</t>
  </si>
  <si>
    <t>607C</t>
  </si>
  <si>
    <t>#EBE9C3</t>
  </si>
  <si>
    <t>608C</t>
  </si>
  <si>
    <t>#E9E6B4</t>
  </si>
  <si>
    <t>609C</t>
  </si>
  <si>
    <t>#E7E29A</t>
  </si>
  <si>
    <t>610C</t>
  </si>
  <si>
    <t>#E2D973</t>
  </si>
  <si>
    <t>611C</t>
  </si>
  <si>
    <t>#D8CC46</t>
  </si>
  <si>
    <t>612C</t>
  </si>
  <si>
    <t>#C4B300</t>
  </si>
  <si>
    <t>613C</t>
  </si>
  <si>
    <t>#B39D00</t>
  </si>
  <si>
    <t>614C</t>
  </si>
  <si>
    <t>#E3E1C1</t>
  </si>
  <si>
    <t>615C</t>
  </si>
  <si>
    <t>#DDDBB1</t>
  </si>
  <si>
    <t>616C</t>
  </si>
  <si>
    <t>#D7D29D</t>
  </si>
  <si>
    <t>617C</t>
  </si>
  <si>
    <t>#C9C37F</t>
  </si>
  <si>
    <t>618C</t>
  </si>
  <si>
    <t>#B4A851</t>
  </si>
  <si>
    <t>619C</t>
  </si>
  <si>
    <t>#9C8E2A</t>
  </si>
  <si>
    <t>620C</t>
  </si>
  <si>
    <t>#887811</t>
  </si>
  <si>
    <t>621C</t>
  </si>
  <si>
    <t>#D2DFDC</t>
  </si>
  <si>
    <t>622C</t>
  </si>
  <si>
    <t>#BDD2CC</t>
  </si>
  <si>
    <t>623C</t>
  </si>
  <si>
    <t>#9EBCB3</t>
  </si>
  <si>
    <t>624C</t>
  </si>
  <si>
    <t>#78A095</t>
  </si>
  <si>
    <t>625C</t>
  </si>
  <si>
    <t>#518274</t>
  </si>
  <si>
    <t>626C</t>
  </si>
  <si>
    <t>#1F5647</t>
  </si>
  <si>
    <t>627C</t>
  </si>
  <si>
    <t>#032D23</t>
  </si>
  <si>
    <t>628C</t>
  </si>
  <si>
    <t>#C8E2E8</t>
  </si>
  <si>
    <t>629C</t>
  </si>
  <si>
    <t>#AADAE5</t>
  </si>
  <si>
    <t>630C</t>
  </si>
  <si>
    <t>#82CBDD</t>
  </si>
  <si>
    <t>631C</t>
  </si>
  <si>
    <t>#48B8D2</t>
  </si>
  <si>
    <t>632C</t>
  </si>
  <si>
    <t>#009EC0</t>
  </si>
  <si>
    <t>633C</t>
  </si>
  <si>
    <t>#007CA4</t>
  </si>
  <si>
    <t>634C</t>
  </si>
  <si>
    <t>#00628C</t>
  </si>
  <si>
    <t>635C</t>
  </si>
  <si>
    <t>#ADDDEB</t>
  </si>
  <si>
    <t>636C</t>
  </si>
  <si>
    <t>#8DD4E9</t>
  </si>
  <si>
    <t>637C</t>
  </si>
  <si>
    <t>#5BC8E7</t>
  </si>
  <si>
    <t>638C</t>
  </si>
  <si>
    <t>#00B2DE</t>
  </si>
  <si>
    <t>639C</t>
  </si>
  <si>
    <t>#009ACF</t>
  </si>
  <si>
    <t>640C</t>
  </si>
  <si>
    <t>#0085C2</t>
  </si>
  <si>
    <t>641C</t>
  </si>
  <si>
    <t>642C</t>
  </si>
  <si>
    <t>#CED9E7</t>
  </si>
  <si>
    <t>643C</t>
  </si>
  <si>
    <t>#C5D2E3</t>
  </si>
  <si>
    <t>644C</t>
  </si>
  <si>
    <t>#97B1D0</t>
  </si>
  <si>
    <t>645C</t>
  </si>
  <si>
    <t>#7498C0</t>
  </si>
  <si>
    <t>646C</t>
  </si>
  <si>
    <t>#5781AE</t>
  </si>
  <si>
    <t>647C</t>
  </si>
  <si>
    <t>#11568C</t>
  </si>
  <si>
    <t>648C</t>
  </si>
  <si>
    <t>#002B5F</t>
  </si>
  <si>
    <t>649C</t>
  </si>
  <si>
    <t>#D4DCE8</t>
  </si>
  <si>
    <t>650C</t>
  </si>
  <si>
    <t>#C2CDE0</t>
  </si>
  <si>
    <t>651C</t>
  </si>
  <si>
    <t>#99AECE</t>
  </si>
  <si>
    <t>652C</t>
  </si>
  <si>
    <t>#6F8DB9</t>
  </si>
  <si>
    <t>653C</t>
  </si>
  <si>
    <t>#2A568F</t>
  </si>
  <si>
    <t>654C</t>
  </si>
  <si>
    <t>#003066</t>
  </si>
  <si>
    <t>655C</t>
  </si>
  <si>
    <t>#002252</t>
  </si>
  <si>
    <t>656C</t>
  </si>
  <si>
    <t>#D4DDED</t>
  </si>
  <si>
    <t>657C</t>
  </si>
  <si>
    <t>#BFD0EA</t>
  </si>
  <si>
    <t>658C</t>
  </si>
  <si>
    <t>#A1BBE4</t>
  </si>
  <si>
    <t>659C</t>
  </si>
  <si>
    <t>#6E96D5</t>
  </si>
  <si>
    <t>660C</t>
  </si>
  <si>
    <t>#296DC1</t>
  </si>
  <si>
    <t>661C</t>
  </si>
  <si>
    <t>#003596</t>
  </si>
  <si>
    <t>662C</t>
  </si>
  <si>
    <t>#002280</t>
  </si>
  <si>
    <t>663C</t>
  </si>
  <si>
    <t>#DED8E6</t>
  </si>
  <si>
    <t>664C</t>
  </si>
  <si>
    <t>#D7D0E0</t>
  </si>
  <si>
    <t>665C</t>
  </si>
  <si>
    <t>#C5BBD3</t>
  </si>
  <si>
    <t>666C</t>
  </si>
  <si>
    <t>#A392B7</t>
  </si>
  <si>
    <t>667C</t>
  </si>
  <si>
    <t>#7C6495</t>
  </si>
  <si>
    <t>668C</t>
  </si>
  <si>
    <t>#624A7E</t>
  </si>
  <si>
    <t>669C</t>
  </si>
  <si>
    <t>#432C5F</t>
  </si>
  <si>
    <t>670C</t>
  </si>
  <si>
    <t>#EAD4E4</t>
  </si>
  <si>
    <t>671C</t>
  </si>
  <si>
    <t>#E6C1DB</t>
  </si>
  <si>
    <t>672C</t>
  </si>
  <si>
    <t>#E1A7CF</t>
  </si>
  <si>
    <t>673C</t>
  </si>
  <si>
    <t>#DA89BE</t>
  </si>
  <si>
    <t>674C</t>
  </si>
  <si>
    <t>#CE62A4</t>
  </si>
  <si>
    <t>675C</t>
  </si>
  <si>
    <t>#B62A79</t>
  </si>
  <si>
    <t>676C</t>
  </si>
  <si>
    <t>#A30059</t>
  </si>
  <si>
    <t>677C</t>
  </si>
  <si>
    <t>#E5D1DF</t>
  </si>
  <si>
    <t>678C</t>
  </si>
  <si>
    <t>#E2C9DA</t>
  </si>
  <si>
    <t>679C</t>
  </si>
  <si>
    <t>#DEBDD4</t>
  </si>
  <si>
    <t>680C</t>
  </si>
  <si>
    <t>#CB97B7</t>
  </si>
  <si>
    <t>681C</t>
  </si>
  <si>
    <t>#B8749E</t>
  </si>
  <si>
    <t>682C</t>
  </si>
  <si>
    <t>#9C4878</t>
  </si>
  <si>
    <t>683C</t>
  </si>
  <si>
    <t>#7C2250</t>
  </si>
  <si>
    <t>684C</t>
  </si>
  <si>
    <t>#E5CAD9</t>
  </si>
  <si>
    <t>685C</t>
  </si>
  <si>
    <t>#E1BCD0</t>
  </si>
  <si>
    <t>686C</t>
  </si>
  <si>
    <t>#DBAEC6</t>
  </si>
  <si>
    <t>687C</t>
  </si>
  <si>
    <t>#C686A9</t>
  </si>
  <si>
    <t>688C</t>
  </si>
  <si>
    <t>#B46B93</t>
  </si>
  <si>
    <t>689C</t>
  </si>
  <si>
    <t>#95416F</t>
  </si>
  <si>
    <t>690C</t>
  </si>
  <si>
    <t>#6D2348</t>
  </si>
  <si>
    <t>691C</t>
  </si>
  <si>
    <t>#E7CDD2</t>
  </si>
  <si>
    <t>692C</t>
  </si>
  <si>
    <t>#E2C1C8</t>
  </si>
  <si>
    <t>693C</t>
  </si>
  <si>
    <t>#D9A7B1</t>
  </si>
  <si>
    <t>694C</t>
  </si>
  <si>
    <t>#CA909C</t>
  </si>
  <si>
    <t>695C</t>
  </si>
  <si>
    <t>#B06876</t>
  </si>
  <si>
    <t>696C</t>
  </si>
  <si>
    <t>#944554</t>
  </si>
  <si>
    <t>697C</t>
  </si>
  <si>
    <t>#81333D</t>
  </si>
  <si>
    <t>698C</t>
  </si>
  <si>
    <t>#EDCFD7</t>
  </si>
  <si>
    <t>699C</t>
  </si>
  <si>
    <t>#F0C2CD</t>
  </si>
  <si>
    <t>700C</t>
  </si>
  <si>
    <t>#ECA9B9</t>
  </si>
  <si>
    <t>701C</t>
  </si>
  <si>
    <t>#E58DA2</t>
  </si>
  <si>
    <t>702C</t>
  </si>
  <si>
    <t>#D5647C</t>
  </si>
  <si>
    <t>703C</t>
  </si>
  <si>
    <t>#BA394E</t>
  </si>
  <si>
    <t>704C</t>
  </si>
  <si>
    <t>#A22630</t>
  </si>
  <si>
    <t>705C</t>
  </si>
  <si>
    <t>#F2D6DE</t>
  </si>
  <si>
    <t>706C</t>
  </si>
  <si>
    <t>#F5C7D4</t>
  </si>
  <si>
    <t>707C</t>
  </si>
  <si>
    <t>#F5B0C1</t>
  </si>
  <si>
    <t>708C</t>
  </si>
  <si>
    <t>#F590A6</t>
  </si>
  <si>
    <t>709C</t>
  </si>
  <si>
    <t>#EF6782</t>
  </si>
  <si>
    <t>710C</t>
  </si>
  <si>
    <t>#E54661</t>
  </si>
  <si>
    <t>711C</t>
  </si>
  <si>
    <t>#D32939</t>
  </si>
  <si>
    <t>712C</t>
  </si>
  <si>
    <t>#FACDAE</t>
  </si>
  <si>
    <t>713C</t>
  </si>
  <si>
    <t>#FBC399</t>
  </si>
  <si>
    <t>714C</t>
  </si>
  <si>
    <t>#FDB179</t>
  </si>
  <si>
    <t>715C</t>
  </si>
  <si>
    <t>#F9964A</t>
  </si>
  <si>
    <t>716C</t>
  </si>
  <si>
    <t>#F17C0E</t>
  </si>
  <si>
    <t>717C</t>
  </si>
  <si>
    <t>#DE6100</t>
  </si>
  <si>
    <t>718C</t>
  </si>
  <si>
    <t>#CF5200</t>
  </si>
  <si>
    <t>719C</t>
  </si>
  <si>
    <t>#EFCFB8</t>
  </si>
  <si>
    <t>720C</t>
  </si>
  <si>
    <t>#ECC3A5</t>
  </si>
  <si>
    <t>721C</t>
  </si>
  <si>
    <t>#E5AE86</t>
  </si>
  <si>
    <t>722C</t>
  </si>
  <si>
    <t>#D58F59</t>
  </si>
  <si>
    <t>723C</t>
  </si>
  <si>
    <t>#C0722F</t>
  </si>
  <si>
    <t>724C</t>
  </si>
  <si>
    <t>#9A4B00</t>
  </si>
  <si>
    <t>725C</t>
  </si>
  <si>
    <t>#843B00</t>
  </si>
  <si>
    <t>726C</t>
  </si>
  <si>
    <t>#E8CEBB</t>
  </si>
  <si>
    <t>727C</t>
  </si>
  <si>
    <t>#E1BEA4</t>
  </si>
  <si>
    <t>728C</t>
  </si>
  <si>
    <t>#D5AA88</t>
  </si>
  <si>
    <t>729C</t>
  </si>
  <si>
    <t>#C38E63</t>
  </si>
  <si>
    <t>730C</t>
  </si>
  <si>
    <t>#AC703D</t>
  </si>
  <si>
    <t>731C</t>
  </si>
  <si>
    <t>#793F0D</t>
  </si>
  <si>
    <t>732C</t>
  </si>
  <si>
    <t>#64300A</t>
  </si>
  <si>
    <t>801C</t>
  </si>
  <si>
    <t>#00A7D8</t>
  </si>
  <si>
    <t>802C</t>
  </si>
  <si>
    <t>#5BDD45</t>
  </si>
  <si>
    <t>803C</t>
  </si>
  <si>
    <t>#FFE805</t>
  </si>
  <si>
    <t>804C</t>
  </si>
  <si>
    <t>#FFA243</t>
  </si>
  <si>
    <t>805C</t>
  </si>
  <si>
    <t>#FF585E</t>
  </si>
  <si>
    <t>806C</t>
  </si>
  <si>
    <t>#FF1CAC</t>
  </si>
  <si>
    <t>807C</t>
  </si>
  <si>
    <t>#D708B2</t>
  </si>
  <si>
    <t>808C</t>
  </si>
  <si>
    <t>#00AE97</t>
  </si>
  <si>
    <t>809C</t>
  </si>
  <si>
    <t>#E1E400</t>
  </si>
  <si>
    <t>810C</t>
  </si>
  <si>
    <t>#FFCE09</t>
  </si>
  <si>
    <t>811C</t>
  </si>
  <si>
    <t>#FF7750</t>
  </si>
  <si>
    <t>812C</t>
  </si>
  <si>
    <t>#FF3485</t>
  </si>
  <si>
    <t>813C</t>
  </si>
  <si>
    <t>#EA12AF</t>
  </si>
  <si>
    <t>814C</t>
  </si>
  <si>
    <t>#7E60CE</t>
  </si>
  <si>
    <t>1215C</t>
  </si>
  <si>
    <t>#F5DD92</t>
  </si>
  <si>
    <t>1225C</t>
  </si>
  <si>
    <t>#FDC745</t>
  </si>
  <si>
    <t>1235C</t>
  </si>
  <si>
    <t>#FFB300</t>
  </si>
  <si>
    <t>1245C</t>
  </si>
  <si>
    <t>#C69200</t>
  </si>
  <si>
    <t>1255C</t>
  </si>
  <si>
    <t>#AA800E</t>
  </si>
  <si>
    <t>1265C</t>
  </si>
  <si>
    <t>#836514</t>
  </si>
  <si>
    <t>1345C</t>
  </si>
  <si>
    <t>#FBCF8D</t>
  </si>
  <si>
    <t>1355C</t>
  </si>
  <si>
    <t>#FDC87D</t>
  </si>
  <si>
    <t>1365C</t>
  </si>
  <si>
    <t>#FFB754</t>
  </si>
  <si>
    <t>1375C</t>
  </si>
  <si>
    <t>#FF9A00</t>
  </si>
  <si>
    <t>1385C</t>
  </si>
  <si>
    <t>#D67500</t>
  </si>
  <si>
    <t>1395C</t>
  </si>
  <si>
    <t>#9E6209</t>
  </si>
  <si>
    <t>1405C</t>
  </si>
  <si>
    <t>#6C4713</t>
  </si>
  <si>
    <t>1485C</t>
  </si>
  <si>
    <t>#FFB57B</t>
  </si>
  <si>
    <t>1495C</t>
  </si>
  <si>
    <t>#FF963B</t>
  </si>
  <si>
    <t>1505C</t>
  </si>
  <si>
    <t>#FF7200</t>
  </si>
  <si>
    <t>Orange 021 C</t>
  </si>
  <si>
    <t>#EF6B00</t>
  </si>
  <si>
    <t>1525C</t>
  </si>
  <si>
    <t>#CA4E00</t>
  </si>
  <si>
    <t>1535C</t>
  </si>
  <si>
    <t>#933F00</t>
  </si>
  <si>
    <t>1545C</t>
  </si>
  <si>
    <t>#51260B</t>
  </si>
  <si>
    <t>1555C</t>
  </si>
  <si>
    <t>#FFBFA0</t>
  </si>
  <si>
    <t>1565C</t>
  </si>
  <si>
    <t>#FFA97D</t>
  </si>
  <si>
    <t>1575C</t>
  </si>
  <si>
    <t>#FF8642</t>
  </si>
  <si>
    <t>1585C</t>
  </si>
  <si>
    <t>#FF6900</t>
  </si>
  <si>
    <t>1595C</t>
  </si>
  <si>
    <t>#DA5C05</t>
  </si>
  <si>
    <t>1605C</t>
  </si>
  <si>
    <t>#A24A13</t>
  </si>
  <si>
    <t>1615C</t>
  </si>
  <si>
    <t>#853C10</t>
  </si>
  <si>
    <t>1625C</t>
  </si>
  <si>
    <t>#FFA28B</t>
  </si>
  <si>
    <t>1635C</t>
  </si>
  <si>
    <t>#FF8E70</t>
  </si>
  <si>
    <t>1645C</t>
  </si>
  <si>
    <t>#FF6C3B</t>
  </si>
  <si>
    <t>1655C</t>
  </si>
  <si>
    <t>#FF5200</t>
  </si>
  <si>
    <t>1665C</t>
  </si>
  <si>
    <t>#E54800</t>
  </si>
  <si>
    <t>1675C</t>
  </si>
  <si>
    <t>#A83C0F</t>
  </si>
  <si>
    <t>1685C</t>
  </si>
  <si>
    <t>#863514</t>
  </si>
  <si>
    <t>1765C</t>
  </si>
  <si>
    <t>#FE9DB0</t>
  </si>
  <si>
    <t>1767C</t>
  </si>
  <si>
    <t>#FAAFC2</t>
  </si>
  <si>
    <t>1775C</t>
  </si>
  <si>
    <t>#FF859A</t>
  </si>
  <si>
    <t>1777C</t>
  </si>
  <si>
    <t>#FB6581</t>
  </si>
  <si>
    <t>1785C</t>
  </si>
  <si>
    <t>#F9455B</t>
  </si>
  <si>
    <t>1787C</t>
  </si>
  <si>
    <t>#F9425F</t>
  </si>
  <si>
    <t>Red 032 C</t>
  </si>
  <si>
    <t>#EF2B2D</t>
  </si>
  <si>
    <t>1788C</t>
  </si>
  <si>
    <t>#F02233</t>
  </si>
  <si>
    <t>1795C</t>
  </si>
  <si>
    <t>#D81F2A</t>
  </si>
  <si>
    <t>1797C</t>
  </si>
  <si>
    <t>#D02433</t>
  </si>
  <si>
    <t>1805C</t>
  </si>
  <si>
    <t>#B0232A</t>
  </si>
  <si>
    <t>1807C</t>
  </si>
  <si>
    <t>#A12830</t>
  </si>
  <si>
    <t>1815C</t>
  </si>
  <si>
    <t>#7C211E</t>
  </si>
  <si>
    <t>1817C</t>
  </si>
  <si>
    <t>#5E2728</t>
  </si>
  <si>
    <t>1895C</t>
  </si>
  <si>
    <t>#F3BCD4</t>
  </si>
  <si>
    <t>1905C</t>
  </si>
  <si>
    <t>#F59BBD</t>
  </si>
  <si>
    <t>1915C</t>
  </si>
  <si>
    <t>#F2558A</t>
  </si>
  <si>
    <t>1925C</t>
  </si>
  <si>
    <t>#E40050</t>
  </si>
  <si>
    <t>1935C</t>
  </si>
  <si>
    <t>#CB0447</t>
  </si>
  <si>
    <t>1945C</t>
  </si>
  <si>
    <t>#AA113F</t>
  </si>
  <si>
    <t>1955C</t>
  </si>
  <si>
    <t>#93173B</t>
  </si>
  <si>
    <t>2365C</t>
  </si>
  <si>
    <t>#EFC3E4</t>
  </si>
  <si>
    <t>2375C</t>
  </si>
  <si>
    <t>#E270CD</t>
  </si>
  <si>
    <t>2385C</t>
  </si>
  <si>
    <t>#D733B4</t>
  </si>
  <si>
    <t>2395C</t>
  </si>
  <si>
    <t>#C40098</t>
  </si>
  <si>
    <t>2405C</t>
  </si>
  <si>
    <t>#A70084</t>
  </si>
  <si>
    <t>2415C</t>
  </si>
  <si>
    <t>#970076</t>
  </si>
  <si>
    <t>2425C</t>
  </si>
  <si>
    <t>#820063</t>
  </si>
  <si>
    <t>2562C</t>
  </si>
  <si>
    <t>#CFA5E4</t>
  </si>
  <si>
    <t>2563C</t>
  </si>
  <si>
    <t>#C79DD8</t>
  </si>
  <si>
    <t>2567C</t>
  </si>
  <si>
    <t>#BB99DA</t>
  </si>
  <si>
    <t>2572C</t>
  </si>
  <si>
    <t>#C084DC</t>
  </si>
  <si>
    <t>2573C</t>
  </si>
  <si>
    <t>#B279C8</t>
  </si>
  <si>
    <t>2577C</t>
  </si>
  <si>
    <t>#A276CC</t>
  </si>
  <si>
    <t>2582C</t>
  </si>
  <si>
    <t>#A24CC8</t>
  </si>
  <si>
    <t>2583C</t>
  </si>
  <si>
    <t>#9E4FA5</t>
  </si>
  <si>
    <t>2587C</t>
  </si>
  <si>
    <t>#8348B5</t>
  </si>
  <si>
    <t>2592C</t>
  </si>
  <si>
    <t>#9016B2</t>
  </si>
  <si>
    <t>2593C</t>
  </si>
  <si>
    <t>#7E2B97</t>
  </si>
  <si>
    <t>2597C</t>
  </si>
  <si>
    <t>#59058D</t>
  </si>
  <si>
    <t>2602C</t>
  </si>
  <si>
    <t>#7D0996</t>
  </si>
  <si>
    <t>2603C</t>
  </si>
  <si>
    <t>#68177F</t>
  </si>
  <si>
    <t>2607C</t>
  </si>
  <si>
    <t>#4F027C</t>
  </si>
  <si>
    <t>2612C</t>
  </si>
  <si>
    <t>#6A1A7A</t>
  </si>
  <si>
    <t>2613C</t>
  </si>
  <si>
    <t>#611774</t>
  </si>
  <si>
    <t>2617C</t>
  </si>
  <si>
    <t>#4B0B71</t>
  </si>
  <si>
    <t>2622C</t>
  </si>
  <si>
    <t>#572458</t>
  </si>
  <si>
    <t>2623C</t>
  </si>
  <si>
    <t>#581963</t>
  </si>
  <si>
    <t>2627C</t>
  </si>
  <si>
    <t>#43125F</t>
  </si>
  <si>
    <t>2635C</t>
  </si>
  <si>
    <t>#BFAFE4</t>
  </si>
  <si>
    <t>2645C</t>
  </si>
  <si>
    <t>#AA94DE</t>
  </si>
  <si>
    <t>2655C</t>
  </si>
  <si>
    <t>#9173D3</t>
  </si>
  <si>
    <t>2665C</t>
  </si>
  <si>
    <t>#7A52C7</t>
  </si>
  <si>
    <t>Violet C</t>
  </si>
  <si>
    <t>#6607A5</t>
  </si>
  <si>
    <t>2685C</t>
  </si>
  <si>
    <t>#3B0084</t>
  </si>
  <si>
    <t>2695C</t>
  </si>
  <si>
    <t>#381D59</t>
  </si>
  <si>
    <t>2705C</t>
  </si>
  <si>
    <t>#A29FE0</t>
  </si>
  <si>
    <t>2706C</t>
  </si>
  <si>
    <t>#C4CBEA</t>
  </si>
  <si>
    <t>2707C</t>
  </si>
  <si>
    <t>#BDD0EE</t>
  </si>
  <si>
    <t>2708C</t>
  </si>
  <si>
    <t>#B1C5EA</t>
  </si>
  <si>
    <t>2715C</t>
  </si>
  <si>
    <t>#8580D8</t>
  </si>
  <si>
    <t>2716C</t>
  </si>
  <si>
    <t>#94A1E2</t>
  </si>
  <si>
    <t>2717C</t>
  </si>
  <si>
    <t>#A1BDEA</t>
  </si>
  <si>
    <t>2718C</t>
  </si>
  <si>
    <t>#547ED9</t>
  </si>
  <si>
    <t>2725C</t>
  </si>
  <si>
    <t>#5E53C7</t>
  </si>
  <si>
    <t>2726C</t>
  </si>
  <si>
    <t>#4555C7</t>
  </si>
  <si>
    <t>2727C</t>
  </si>
  <si>
    <t>#3878DB</t>
  </si>
  <si>
    <t>2728C</t>
  </si>
  <si>
    <t>#0047BE</t>
  </si>
  <si>
    <t>Blue 072 C</t>
  </si>
  <si>
    <t>#380096</t>
  </si>
  <si>
    <t>2735C</t>
  </si>
  <si>
    <t>#280092</t>
  </si>
  <si>
    <t>2736C</t>
  </si>
  <si>
    <t>#1E22AE</t>
  </si>
  <si>
    <t>2738C</t>
  </si>
  <si>
    <t>#00129D</t>
  </si>
  <si>
    <t>2745C</t>
  </si>
  <si>
    <t>#22007A</t>
  </si>
  <si>
    <t>2746C</t>
  </si>
  <si>
    <t>#1A1C96</t>
  </si>
  <si>
    <t>2747C</t>
  </si>
  <si>
    <t>#00237E</t>
  </si>
  <si>
    <t>2748C</t>
  </si>
  <si>
    <t>#001A7B</t>
  </si>
  <si>
    <t>2755C</t>
  </si>
  <si>
    <t>#1B0069</t>
  </si>
  <si>
    <t>2756C</t>
  </si>
  <si>
    <t>#151D71</t>
  </si>
  <si>
    <t>2757C</t>
  </si>
  <si>
    <t>#002065</t>
  </si>
  <si>
    <t>2758C</t>
  </si>
  <si>
    <t>#001D68</t>
  </si>
  <si>
    <t>2765C</t>
  </si>
  <si>
    <t>#1B0C55</t>
  </si>
  <si>
    <t>2766C</t>
  </si>
  <si>
    <t>#151C55</t>
  </si>
  <si>
    <t>2767C</t>
  </si>
  <si>
    <t>#0B2345</t>
  </si>
  <si>
    <t>2768C</t>
  </si>
  <si>
    <t>#112151</t>
  </si>
  <si>
    <t>2905C</t>
  </si>
  <si>
    <t>#92C9EB</t>
  </si>
  <si>
    <t>2915C</t>
  </si>
  <si>
    <t>#62B4E8</t>
  </si>
  <si>
    <t>2925C</t>
  </si>
  <si>
    <t>#0092DD</t>
  </si>
  <si>
    <t>2935C</t>
  </si>
  <si>
    <t>#005BC3</t>
  </si>
  <si>
    <t>2945C</t>
  </si>
  <si>
    <t>#0053A5</t>
  </si>
  <si>
    <t>2955C</t>
  </si>
  <si>
    <t>#003B6F</t>
  </si>
  <si>
    <t>2965C</t>
  </si>
  <si>
    <t>#003151</t>
  </si>
  <si>
    <t>2975C</t>
  </si>
  <si>
    <t>#A5D9EC</t>
  </si>
  <si>
    <t>2985C</t>
  </si>
  <si>
    <t>#40BDE8</t>
  </si>
  <si>
    <t>2995C</t>
  </si>
  <si>
    <t>#00A2E1</t>
  </si>
  <si>
    <t>3005C</t>
  </si>
  <si>
    <t>#0076CC</t>
  </si>
  <si>
    <t>3015C</t>
  </si>
  <si>
    <t>#0060A1</t>
  </si>
  <si>
    <t>3025C</t>
  </si>
  <si>
    <t>3035C</t>
  </si>
  <si>
    <t>#003A4F</t>
  </si>
  <si>
    <t>3105C</t>
  </si>
  <si>
    <t>#6FD2E4</t>
  </si>
  <si>
    <t>3115C</t>
  </si>
  <si>
    <t>#00C4DC</t>
  </si>
  <si>
    <t>3125C</t>
  </si>
  <si>
    <t>#00AECE</t>
  </si>
  <si>
    <t>3135C</t>
  </si>
  <si>
    <t>#0092BA</t>
  </si>
  <si>
    <t>3145C</t>
  </si>
  <si>
    <t>#007A97</t>
  </si>
  <si>
    <t>3155C</t>
  </si>
  <si>
    <t>#00667C</t>
  </si>
  <si>
    <t>3165C</t>
  </si>
  <si>
    <t>#004F5D</t>
  </si>
  <si>
    <t>3242C</t>
  </si>
  <si>
    <t>#75D9D8</t>
  </si>
  <si>
    <t>3245C</t>
  </si>
  <si>
    <t>#7BDDD8</t>
  </si>
  <si>
    <t>3248C</t>
  </si>
  <si>
    <t>#7BD2C8</t>
  </si>
  <si>
    <t>3252C</t>
  </si>
  <si>
    <t>#41D2D2</t>
  </si>
  <si>
    <t>3255C</t>
  </si>
  <si>
    <t>#32D4CB</t>
  </si>
  <si>
    <t>3258C</t>
  </si>
  <si>
    <t>#43C4B7</t>
  </si>
  <si>
    <t>3262C</t>
  </si>
  <si>
    <t>#00BAB9</t>
  </si>
  <si>
    <t>3265C</t>
  </si>
  <si>
    <t>#00C2B6</t>
  </si>
  <si>
    <t>3268C</t>
  </si>
  <si>
    <t>#00A994</t>
  </si>
  <si>
    <t>3272C</t>
  </si>
  <si>
    <t>#00A19C</t>
  </si>
  <si>
    <t>3275C</t>
  </si>
  <si>
    <t>#00B09D</t>
  </si>
  <si>
    <t>3278C</t>
  </si>
  <si>
    <t>#00997A</t>
  </si>
  <si>
    <t>3282C</t>
  </si>
  <si>
    <t>#008480</t>
  </si>
  <si>
    <t>3285C</t>
  </si>
  <si>
    <t>#009384</t>
  </si>
  <si>
    <t>3288C</t>
  </si>
  <si>
    <t>#007E64</t>
  </si>
  <si>
    <t>3292C</t>
  </si>
  <si>
    <t>#005A53</t>
  </si>
  <si>
    <t>3295C</t>
  </si>
  <si>
    <t>#007C6F</t>
  </si>
  <si>
    <t>3298C</t>
  </si>
  <si>
    <t>#006752</t>
  </si>
  <si>
    <t>3302C</t>
  </si>
  <si>
    <t>#00423C</t>
  </si>
  <si>
    <t>3305C</t>
  </si>
  <si>
    <t>#004A41</t>
  </si>
  <si>
    <t>3308C</t>
  </si>
  <si>
    <t>#004236</t>
  </si>
  <si>
    <t>3375C</t>
  </si>
  <si>
    <t>#81E0C7</t>
  </si>
  <si>
    <t>3385C</t>
  </si>
  <si>
    <t>#3BD6B2</t>
  </si>
  <si>
    <t>3395C</t>
  </si>
  <si>
    <t>#00C590</t>
  </si>
  <si>
    <t>3405C</t>
  </si>
  <si>
    <t>#00AE68</t>
  </si>
  <si>
    <t>3415C</t>
  </si>
  <si>
    <t>#00774B</t>
  </si>
  <si>
    <t>3425C</t>
  </si>
  <si>
    <t>#006644</t>
  </si>
  <si>
    <t>3435C</t>
  </si>
  <si>
    <t>#004731</t>
  </si>
  <si>
    <t>3935C</t>
  </si>
  <si>
    <t>#F0EB7A</t>
  </si>
  <si>
    <t>3945C</t>
  </si>
  <si>
    <t>#EFE600</t>
  </si>
  <si>
    <t>3955C</t>
  </si>
  <si>
    <t>#ECE100</t>
  </si>
  <si>
    <t>3965C</t>
  </si>
  <si>
    <t>#E9DC00</t>
  </si>
  <si>
    <t>3975C</t>
  </si>
  <si>
    <t>#BBA800</t>
  </si>
  <si>
    <t>3985C</t>
  </si>
  <si>
    <t>#9B8900</t>
  </si>
  <si>
    <t>3995C</t>
  </si>
  <si>
    <t>#6A5B07</t>
  </si>
  <si>
    <t>4485C</t>
  </si>
  <si>
    <t>#5D4718</t>
  </si>
  <si>
    <t>4495C</t>
  </si>
  <si>
    <t>#836E2C</t>
  </si>
  <si>
    <t>4505C</t>
  </si>
  <si>
    <t>#9B8948</t>
  </si>
  <si>
    <t>4515C</t>
  </si>
  <si>
    <t>#B5A570</t>
  </si>
  <si>
    <t>4525C</t>
  </si>
  <si>
    <t>#C5BA8E</t>
  </si>
  <si>
    <t>4535C</t>
  </si>
  <si>
    <t>#D4CCAA</t>
  </si>
  <si>
    <t>4545C</t>
  </si>
  <si>
    <t>#DED9C2</t>
  </si>
  <si>
    <t>4625C</t>
  </si>
  <si>
    <t>#4E2614</t>
  </si>
  <si>
    <t>4635C</t>
  </si>
  <si>
    <t>#905A33</t>
  </si>
  <si>
    <t>4645C</t>
  </si>
  <si>
    <t>#B17F5C</t>
  </si>
  <si>
    <t>4655C</t>
  </si>
  <si>
    <t>#C09477</t>
  </si>
  <si>
    <t>4665C</t>
  </si>
  <si>
    <t>#D1AE97</t>
  </si>
  <si>
    <t>4675C</t>
  </si>
  <si>
    <t>#DDC2B0</t>
  </si>
  <si>
    <t>4685C</t>
  </si>
  <si>
    <t>#E4D2C5</t>
  </si>
  <si>
    <t>4695C</t>
  </si>
  <si>
    <t>#532821</t>
  </si>
  <si>
    <t>4705C</t>
  </si>
  <si>
    <t>#7F4C3E</t>
  </si>
  <si>
    <t>4715C</t>
  </si>
  <si>
    <t>#9B6E5F</t>
  </si>
  <si>
    <t>4725C</t>
  </si>
  <si>
    <t>#B28D7F</t>
  </si>
  <si>
    <t>4735C</t>
  </si>
  <si>
    <t>#C5AAA0</t>
  </si>
  <si>
    <t>4745C</t>
  </si>
  <si>
    <t>#D4BEB6</t>
  </si>
  <si>
    <t>4755C</t>
  </si>
  <si>
    <t>#DDCDC7</t>
  </si>
  <si>
    <t>4975C</t>
  </si>
  <si>
    <t>#441E1F</t>
  </si>
  <si>
    <t>4985C</t>
  </si>
  <si>
    <t>#854A50</t>
  </si>
  <si>
    <t>4995C</t>
  </si>
  <si>
    <t>#A16971</t>
  </si>
  <si>
    <t>5005C</t>
  </si>
  <si>
    <t>#B7848C</t>
  </si>
  <si>
    <t>5015C</t>
  </si>
  <si>
    <t>#D1A9B0</t>
  </si>
  <si>
    <t>5025C</t>
  </si>
  <si>
    <t>#DBBCC1</t>
  </si>
  <si>
    <t>5035C</t>
  </si>
  <si>
    <t>#E3CBD0</t>
  </si>
  <si>
    <t>5115C</t>
  </si>
  <si>
    <t>#4B253E</t>
  </si>
  <si>
    <t>5125C</t>
  </si>
  <si>
    <t>#704165</t>
  </si>
  <si>
    <t>5135C</t>
  </si>
  <si>
    <t>#885E80</t>
  </si>
  <si>
    <t>5145C</t>
  </si>
  <si>
    <t>#A17E9A</t>
  </si>
  <si>
    <t>5155C</t>
  </si>
  <si>
    <t>#C0A6BD</t>
  </si>
  <si>
    <t>5165C</t>
  </si>
  <si>
    <t>#D6C5D3</t>
  </si>
  <si>
    <t>5175C</t>
  </si>
  <si>
    <t>#E0D5DE</t>
  </si>
  <si>
    <t>5185C</t>
  </si>
  <si>
    <t>#45293B</t>
  </si>
  <si>
    <t>5195C</t>
  </si>
  <si>
    <t>#5E3A51</t>
  </si>
  <si>
    <t>5205C</t>
  </si>
  <si>
    <t>#8B687D</t>
  </si>
  <si>
    <t>5215C</t>
  </si>
  <si>
    <t>#B195A6</t>
  </si>
  <si>
    <t>5225C</t>
  </si>
  <si>
    <t>#C6B0BE</t>
  </si>
  <si>
    <t>5235C</t>
  </si>
  <si>
    <t>#D4C4CE</t>
  </si>
  <si>
    <t>5245C</t>
  </si>
  <si>
    <t>#DFD4DB</t>
  </si>
  <si>
    <t>5255C</t>
  </si>
  <si>
    <t>#2A254B</t>
  </si>
  <si>
    <t>5265C</t>
  </si>
  <si>
    <t>#433B67</t>
  </si>
  <si>
    <t>5275C</t>
  </si>
  <si>
    <t>#57527E</t>
  </si>
  <si>
    <t>5285C</t>
  </si>
  <si>
    <t>#8581A4</t>
  </si>
  <si>
    <t>5295C</t>
  </si>
  <si>
    <t>#AAA7C1</t>
  </si>
  <si>
    <t>5305C</t>
  </si>
  <si>
    <t>#C1BED1</t>
  </si>
  <si>
    <t>5315C</t>
  </si>
  <si>
    <t>#D4D4E0</t>
  </si>
  <si>
    <t>5395C</t>
  </si>
  <si>
    <t>#02253A</t>
  </si>
  <si>
    <t>5405C</t>
  </si>
  <si>
    <t>#3E647E</t>
  </si>
  <si>
    <t>5415C</t>
  </si>
  <si>
    <t>#587993</t>
  </si>
  <si>
    <t>5425C</t>
  </si>
  <si>
    <t>#7C98AE</t>
  </si>
  <si>
    <t>5435C</t>
  </si>
  <si>
    <t>#A5B8C9</t>
  </si>
  <si>
    <t>5445C</t>
  </si>
  <si>
    <t>#BCCAD6</t>
  </si>
  <si>
    <t>5455C</t>
  </si>
  <si>
    <t>#CCD6E0</t>
  </si>
  <si>
    <t>5463C</t>
  </si>
  <si>
    <t>#002830</t>
  </si>
  <si>
    <t>5467C</t>
  </si>
  <si>
    <t>#183533</t>
  </si>
  <si>
    <t>5473C</t>
  </si>
  <si>
    <t>#00626E</t>
  </si>
  <si>
    <t>5477C</t>
  </si>
  <si>
    <t>#3C5B59</t>
  </si>
  <si>
    <t>5483C</t>
  </si>
  <si>
    <t>#4F8D97</t>
  </si>
  <si>
    <t>5487C</t>
  </si>
  <si>
    <t>#627D7C</t>
  </si>
  <si>
    <t>5493C</t>
  </si>
  <si>
    <t>#81ADB5</t>
  </si>
  <si>
    <t>5497C</t>
  </si>
  <si>
    <t>#8DA09F</t>
  </si>
  <si>
    <t>5503C</t>
  </si>
  <si>
    <t>#A1C3C9</t>
  </si>
  <si>
    <t>5507C</t>
  </si>
  <si>
    <t>#AAB8B9</t>
  </si>
  <si>
    <t>5513C</t>
  </si>
  <si>
    <t>#BED5D9</t>
  </si>
  <si>
    <t>5517C</t>
  </si>
  <si>
    <t>#BFCBCC</t>
  </si>
  <si>
    <t>5523C</t>
  </si>
  <si>
    <t>#CFDEE1</t>
  </si>
  <si>
    <t>5527C</t>
  </si>
  <si>
    <t>#CCD4D4</t>
  </si>
  <si>
    <t>5535C</t>
  </si>
  <si>
    <t>#1B3930</t>
  </si>
  <si>
    <t>5545C</t>
  </si>
  <si>
    <t>#4A6D62</t>
  </si>
  <si>
    <t>5555C</t>
  </si>
  <si>
    <t>#6E8D82</t>
  </si>
  <si>
    <t>5565C</t>
  </si>
  <si>
    <t>#8FA8A0</t>
  </si>
  <si>
    <t>5575C</t>
  </si>
  <si>
    <t>#A9BDB6</t>
  </si>
  <si>
    <t>5585C</t>
  </si>
  <si>
    <t>5595C</t>
  </si>
  <si>
    <t>#D3DEDB</t>
  </si>
  <si>
    <t>5605C</t>
  </si>
  <si>
    <t>#193025</t>
  </si>
  <si>
    <t>5615C</t>
  </si>
  <si>
    <t>#5A7060</t>
  </si>
  <si>
    <t>5625C</t>
  </si>
  <si>
    <t>#6C8072</t>
  </si>
  <si>
    <t>5635C</t>
  </si>
  <si>
    <t>#97A69B</t>
  </si>
  <si>
    <t>5645C</t>
  </si>
  <si>
    <t>#B1BCB5</t>
  </si>
  <si>
    <t>5655C</t>
  </si>
  <si>
    <t>#BDC5BF</t>
  </si>
  <si>
    <t>5665C</t>
  </si>
  <si>
    <t>#CDD3CD</t>
  </si>
  <si>
    <t>5743C</t>
  </si>
  <si>
    <t>#3E4723</t>
  </si>
  <si>
    <t>5747C</t>
  </si>
  <si>
    <t>#404616</t>
  </si>
  <si>
    <t>5753C</t>
  </si>
  <si>
    <t>#5E6639</t>
  </si>
  <si>
    <t>5757C</t>
  </si>
  <si>
    <t>#6F732D</t>
  </si>
  <si>
    <t>5763C</t>
  </si>
  <si>
    <t>#6E7649</t>
  </si>
  <si>
    <t>5767C</t>
  </si>
  <si>
    <t>#8D9150</t>
  </si>
  <si>
    <t>5773C</t>
  </si>
  <si>
    <t>#939871</t>
  </si>
  <si>
    <t>5777C</t>
  </si>
  <si>
    <t>#A7AB74</t>
  </si>
  <si>
    <t>5783C</t>
  </si>
  <si>
    <t>#ADB291</t>
  </si>
  <si>
    <t>5787C</t>
  </si>
  <si>
    <t>#C1C49A</t>
  </si>
  <si>
    <t>5793C</t>
  </si>
  <si>
    <t>#BDC2A9</t>
  </si>
  <si>
    <t>5797C</t>
  </si>
  <si>
    <t>#CED1B3</t>
  </si>
  <si>
    <t>5803C</t>
  </si>
  <si>
    <t>#CED2BF</t>
  </si>
  <si>
    <t>5807C</t>
  </si>
  <si>
    <t>#D9DCC5</t>
  </si>
  <si>
    <t>5815C</t>
  </si>
  <si>
    <t>#4B4516</t>
  </si>
  <si>
    <t>5825C</t>
  </si>
  <si>
    <t>#7D762F</t>
  </si>
  <si>
    <t>5835C</t>
  </si>
  <si>
    <t>#9D9754</t>
  </si>
  <si>
    <t>5845C</t>
  </si>
  <si>
    <t>#ADA86B</t>
  </si>
  <si>
    <t>5855C</t>
  </si>
  <si>
    <t>#C7C397</t>
  </si>
  <si>
    <t>5865C</t>
  </si>
  <si>
    <t>#D3CFAC</t>
  </si>
  <si>
    <t>5875C</t>
  </si>
  <si>
    <t>#D9D7b9</t>
  </si>
  <si>
    <t>Black 2 C</t>
  </si>
  <si>
    <t>#3A3321</t>
  </si>
  <si>
    <t>Black 3 C</t>
  </si>
  <si>
    <t>#282D26</t>
  </si>
  <si>
    <t>Black 4 C</t>
  </si>
  <si>
    <t>#3D3023</t>
  </si>
  <si>
    <t>Black 5 C</t>
  </si>
  <si>
    <t>#422D2D</t>
  </si>
  <si>
    <t>Black 6 C</t>
  </si>
  <si>
    <t>#1C2630</t>
  </si>
  <si>
    <t>Black 7 C</t>
  </si>
  <si>
    <t>#443D38</t>
  </si>
  <si>
    <t>Cool Gray 1 C</t>
  </si>
  <si>
    <t>#E8E2D6</t>
  </si>
  <si>
    <t>Cool Gray 2 C</t>
  </si>
  <si>
    <t>#DDD8CE</t>
  </si>
  <si>
    <t>Cool Gray 3 C</t>
  </si>
  <si>
    <t>#D3CEC4</t>
  </si>
  <si>
    <t>Cool Gray 4 C</t>
  </si>
  <si>
    <t>#C4C1BA</t>
  </si>
  <si>
    <t>Cool Gray 5 C</t>
  </si>
  <si>
    <t>#BAB7AF</t>
  </si>
  <si>
    <t>Cool Gray 6 C</t>
  </si>
  <si>
    <t>#B5B2AA</t>
  </si>
  <si>
    <t>Cool Gray 7 C</t>
  </si>
  <si>
    <t>#A5A39E</t>
  </si>
  <si>
    <t>Cool Gray 8 C</t>
  </si>
  <si>
    <t>#9B9993</t>
  </si>
  <si>
    <t>Cool Gray 9 C</t>
  </si>
  <si>
    <t>#8C8984</t>
  </si>
  <si>
    <t>Cool Gray 10 C</t>
  </si>
  <si>
    <t>#777772</t>
  </si>
  <si>
    <t>Cool Gray 11 C</t>
  </si>
  <si>
    <t>#686663</t>
  </si>
  <si>
    <t>Warm Gray 1 C</t>
  </si>
  <si>
    <t>#E5DBCC</t>
  </si>
  <si>
    <t>Warm Gray 2 C</t>
  </si>
  <si>
    <t>#DDD1C1</t>
  </si>
  <si>
    <t>Warm Gray 3 C</t>
  </si>
  <si>
    <t>#CCC1B2</t>
  </si>
  <si>
    <t>Warm Gray 4 C</t>
  </si>
  <si>
    <t>#C1B5A5</t>
  </si>
  <si>
    <t>Warm Gray 5 C</t>
  </si>
  <si>
    <t>#B5A899</t>
  </si>
  <si>
    <t>Warm Gray 6 C</t>
  </si>
  <si>
    <t>#AFA393</t>
  </si>
  <si>
    <t>Warm Gray 7 C</t>
  </si>
  <si>
    <t>#A39687</t>
  </si>
  <si>
    <t>Warm Gray 8 C</t>
  </si>
  <si>
    <t>#96897A</t>
  </si>
  <si>
    <t>Warm Gray 9 C</t>
  </si>
  <si>
    <t>#8C7F70</t>
  </si>
  <si>
    <t>Warm Gray 10 C</t>
  </si>
  <si>
    <t>#827263</t>
  </si>
  <si>
    <t>Warm Gray 11 C</t>
  </si>
  <si>
    <t>#6D5E51</t>
  </si>
  <si>
    <t>RGB</t>
    <phoneticPr fontId="2"/>
  </si>
  <si>
    <t>208</t>
  </si>
  <si>
    <t>209</t>
  </si>
  <si>
    <t>210</t>
  </si>
  <si>
    <t>211</t>
  </si>
  <si>
    <t>221</t>
  </si>
  <si>
    <t>223</t>
  </si>
  <si>
    <t>224</t>
  </si>
  <si>
    <t>225</t>
  </si>
  <si>
    <t>300</t>
  </si>
  <si>
    <t>301</t>
  </si>
  <si>
    <t>304</t>
  </si>
  <si>
    <t>307</t>
  </si>
  <si>
    <t>309</t>
  </si>
  <si>
    <t>310</t>
  </si>
  <si>
    <t>311</t>
  </si>
  <si>
    <t>312</t>
  </si>
  <si>
    <t>315</t>
  </si>
  <si>
    <t>316</t>
  </si>
  <si>
    <t>317</t>
  </si>
  <si>
    <t>318</t>
  </si>
  <si>
    <t>319</t>
  </si>
  <si>
    <t>320</t>
  </si>
  <si>
    <t>321</t>
  </si>
  <si>
    <t>322</t>
  </si>
  <si>
    <t>326</t>
  </si>
  <si>
    <t>327</t>
  </si>
  <si>
    <t>333</t>
  </si>
  <si>
    <t>334</t>
  </si>
  <si>
    <t>335</t>
  </si>
  <si>
    <t>336</t>
  </si>
  <si>
    <t>340</t>
  </si>
  <si>
    <t>341</t>
  </si>
  <si>
    <t>347</t>
  </si>
  <si>
    <t>349</t>
  </si>
  <si>
    <t>350</t>
  </si>
  <si>
    <t>351</t>
  </si>
  <si>
    <t>352</t>
  </si>
  <si>
    <t>353</t>
  </si>
  <si>
    <t>355</t>
  </si>
  <si>
    <t>356</t>
  </si>
  <si>
    <t>367</t>
  </si>
  <si>
    <t>368</t>
  </si>
  <si>
    <t>369</t>
  </si>
  <si>
    <t>370</t>
  </si>
  <si>
    <t>371</t>
  </si>
  <si>
    <t>372</t>
  </si>
  <si>
    <t>400</t>
  </si>
  <si>
    <t>402</t>
  </si>
  <si>
    <t>407</t>
  </si>
  <si>
    <t>413</t>
  </si>
  <si>
    <t>414</t>
  </si>
  <si>
    <t>415</t>
  </si>
  <si>
    <t>420</t>
  </si>
  <si>
    <t>422</t>
  </si>
  <si>
    <t>433</t>
  </si>
  <si>
    <t>434</t>
  </si>
  <si>
    <t>435</t>
  </si>
  <si>
    <t>436</t>
  </si>
  <si>
    <t>437</t>
  </si>
  <si>
    <t>444</t>
  </si>
  <si>
    <t>445</t>
  </si>
  <si>
    <t>451</t>
  </si>
  <si>
    <t>452</t>
  </si>
  <si>
    <t>453</t>
  </si>
  <si>
    <t>469</t>
  </si>
  <si>
    <t>470</t>
  </si>
  <si>
    <t>471</t>
  </si>
  <si>
    <t>472</t>
  </si>
  <si>
    <t>498</t>
  </si>
  <si>
    <t>500</t>
  </si>
  <si>
    <t>501</t>
  </si>
  <si>
    <t>502</t>
  </si>
  <si>
    <t>503</t>
  </si>
  <si>
    <t>517</t>
  </si>
  <si>
    <t>518</t>
  </si>
  <si>
    <t>519</t>
  </si>
  <si>
    <t>520</t>
  </si>
  <si>
    <t>522</t>
  </si>
  <si>
    <t>523</t>
  </si>
  <si>
    <t>524</t>
  </si>
  <si>
    <t>535</t>
  </si>
  <si>
    <t>543</t>
  </si>
  <si>
    <t>550</t>
  </si>
  <si>
    <t>552</t>
  </si>
  <si>
    <t>553</t>
  </si>
  <si>
    <t>554</t>
  </si>
  <si>
    <t>561</t>
  </si>
  <si>
    <t>562</t>
  </si>
  <si>
    <t>563</t>
  </si>
  <si>
    <t>564</t>
  </si>
  <si>
    <t>580</t>
  </si>
  <si>
    <t>581</t>
  </si>
  <si>
    <t>597</t>
  </si>
  <si>
    <t>598</t>
  </si>
  <si>
    <t>600</t>
  </si>
  <si>
    <t>601</t>
  </si>
  <si>
    <t>602</t>
  </si>
  <si>
    <t>603</t>
  </si>
  <si>
    <t>604</t>
  </si>
  <si>
    <t>605</t>
  </si>
  <si>
    <t>606</t>
  </si>
  <si>
    <t>608</t>
  </si>
  <si>
    <t>610</t>
  </si>
  <si>
    <t>611</t>
  </si>
  <si>
    <t>612</t>
  </si>
  <si>
    <t>613</t>
  </si>
  <si>
    <t>632</t>
  </si>
  <si>
    <t>640</t>
  </si>
  <si>
    <t>642</t>
  </si>
  <si>
    <t>644</t>
  </si>
  <si>
    <t>645</t>
  </si>
  <si>
    <t>646</t>
  </si>
  <si>
    <t>647</t>
  </si>
  <si>
    <t>648</t>
  </si>
  <si>
    <t>666</t>
  </si>
  <si>
    <t>676</t>
  </si>
  <si>
    <t>677</t>
  </si>
  <si>
    <t>680</t>
  </si>
  <si>
    <t>699</t>
  </si>
  <si>
    <t>700</t>
  </si>
  <si>
    <t>701</t>
  </si>
  <si>
    <t>702</t>
  </si>
  <si>
    <t>703</t>
  </si>
  <si>
    <t>704</t>
  </si>
  <si>
    <t>712</t>
  </si>
  <si>
    <t>718</t>
  </si>
  <si>
    <t>720</t>
  </si>
  <si>
    <t>721</t>
  </si>
  <si>
    <t>722</t>
  </si>
  <si>
    <t>725</t>
  </si>
  <si>
    <t>726</t>
  </si>
  <si>
    <t>727</t>
  </si>
  <si>
    <t>729</t>
  </si>
  <si>
    <t>730</t>
  </si>
  <si>
    <t>732</t>
  </si>
  <si>
    <t>733</t>
  </si>
  <si>
    <t>734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</si>
  <si>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</si>
  <si>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</si>
  <si>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</si>
  <si>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</si>
  <si>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</si>
  <si>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</si>
  <si>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</si>
  <si>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</si>
  <si>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</si>
  <si>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</si>
  <si>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754</t>
  </si>
  <si>
    <t>758</t>
  </si>
  <si>
    <t>760</t>
  </si>
  <si>
    <t>761</t>
  </si>
  <si>
    <t>762</t>
  </si>
  <si>
    <t>772</t>
  </si>
  <si>
    <t>775</t>
  </si>
  <si>
    <t>778</t>
  </si>
  <si>
    <t>780</t>
  </si>
  <si>
    <t>782</t>
  </si>
  <si>
    <t>783</t>
  </si>
  <si>
    <t>791</t>
  </si>
  <si>
    <t>792</t>
  </si>
  <si>
    <t>793</t>
  </si>
  <si>
    <t>794</t>
  </si>
  <si>
    <t>796</t>
  </si>
  <si>
    <t>797</t>
  </si>
  <si>
    <t>798</t>
  </si>
  <si>
    <t>799</t>
  </si>
  <si>
    <t>800</t>
  </si>
  <si>
    <t>801</t>
  </si>
  <si>
    <t>807</t>
  </si>
  <si>
    <t>809</t>
  </si>
  <si>
    <t>813</t>
  </si>
  <si>
    <t>814</t>
  </si>
  <si>
    <t>815</t>
  </si>
  <si>
    <t>816</t>
  </si>
  <si>
    <t>817</t>
  </si>
  <si>
    <t>818</t>
  </si>
  <si>
    <t>819</t>
  </si>
  <si>
    <t>820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</si>
  <si>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</si>
  <si>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</si>
  <si>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</si>
  <si>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</si>
  <si>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</si>
  <si>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</si>
  <si>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</si>
  <si>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</si>
  <si>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</si>
  <si>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</si>
  <si>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</si>
  <si>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</si>
  <si>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</si>
  <si>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838</t>
  </si>
  <si>
    <t>839</t>
  </si>
  <si>
    <t>840</t>
  </si>
  <si>
    <t>841</t>
  </si>
  <si>
    <t>842</t>
  </si>
  <si>
    <t>844</t>
  </si>
  <si>
    <t>869</t>
  </si>
  <si>
    <t>890</t>
  </si>
  <si>
    <t>891</t>
  </si>
  <si>
    <t>892</t>
  </si>
  <si>
    <t>893</t>
  </si>
  <si>
    <t>894</t>
  </si>
  <si>
    <t>895</t>
  </si>
  <si>
    <t>898</t>
  </si>
  <si>
    <t>899</t>
  </si>
  <si>
    <t>900</t>
  </si>
  <si>
    <t>902</t>
  </si>
  <si>
    <t>904</t>
  </si>
  <si>
    <t>905</t>
  </si>
  <si>
    <t>906</t>
  </si>
  <si>
    <t>907</t>
  </si>
  <si>
    <t>909</t>
  </si>
  <si>
    <t>910</t>
  </si>
  <si>
    <t>911</t>
  </si>
  <si>
    <t>912</t>
  </si>
  <si>
    <t>913</t>
  </si>
  <si>
    <t>915</t>
  </si>
  <si>
    <t>917</t>
  </si>
  <si>
    <t>918</t>
  </si>
  <si>
    <t>919</t>
  </si>
  <si>
    <t>920</t>
  </si>
  <si>
    <t>921</t>
  </si>
  <si>
    <t>922</t>
  </si>
  <si>
    <t>924</t>
  </si>
  <si>
    <t>926</t>
  </si>
  <si>
    <t>927</t>
  </si>
  <si>
    <t>928</t>
  </si>
  <si>
    <t>930</t>
  </si>
  <si>
    <t>931</t>
  </si>
  <si>
    <t>932</t>
  </si>
  <si>
    <t>934</t>
  </si>
  <si>
    <t>935</t>
  </si>
  <si>
    <t>936</t>
  </si>
  <si>
    <t>937</t>
  </si>
  <si>
    <t>938</t>
  </si>
  <si>
    <t>939</t>
  </si>
  <si>
    <t>943</t>
  </si>
  <si>
    <t>945</t>
  </si>
  <si>
    <t>946</t>
  </si>
  <si>
    <t>947</t>
  </si>
  <si>
    <t>948</t>
  </si>
  <si>
    <t>950</t>
  </si>
  <si>
    <t>951</t>
  </si>
  <si>
    <t>954</t>
  </si>
  <si>
    <t>955</t>
  </si>
  <si>
    <t>956</t>
  </si>
  <si>
    <t>957</t>
  </si>
  <si>
    <t>958</t>
  </si>
  <si>
    <t>959</t>
  </si>
  <si>
    <t>961</t>
  </si>
  <si>
    <t>962</t>
  </si>
  <si>
    <t>963</t>
  </si>
  <si>
    <t>964</t>
  </si>
  <si>
    <t>966</t>
  </si>
  <si>
    <t>970</t>
  </si>
  <si>
    <t>972</t>
  </si>
  <si>
    <t>973</t>
  </si>
  <si>
    <t>975</t>
  </si>
  <si>
    <t>976</t>
  </si>
  <si>
    <t>977</t>
  </si>
  <si>
    <t>986</t>
  </si>
  <si>
    <t>987</t>
  </si>
  <si>
    <t>988</t>
  </si>
  <si>
    <t>989</t>
  </si>
  <si>
    <t>991</t>
  </si>
  <si>
    <t>992</t>
  </si>
  <si>
    <t>993</t>
  </si>
  <si>
    <t>995</t>
  </si>
  <si>
    <t>996</t>
  </si>
  <si>
    <t>3011</t>
  </si>
  <si>
    <t>3012</t>
  </si>
  <si>
    <t>3013</t>
  </si>
  <si>
    <t>3021</t>
  </si>
  <si>
    <t>3022</t>
  </si>
  <si>
    <t>3023</t>
  </si>
  <si>
    <t>3024</t>
  </si>
  <si>
    <t>3031</t>
  </si>
  <si>
    <t>3032</t>
  </si>
  <si>
    <t>3033</t>
  </si>
  <si>
    <t>3041</t>
  </si>
  <si>
    <t>3042</t>
  </si>
  <si>
    <t>3045</t>
  </si>
  <si>
    <t>3046</t>
  </si>
  <si>
    <t>3047</t>
  </si>
  <si>
    <t>3051</t>
  </si>
  <si>
    <t>3052</t>
  </si>
  <si>
    <t>3053</t>
  </si>
  <si>
    <t>3064</t>
  </si>
  <si>
    <t>3072</t>
  </si>
  <si>
    <t>3078</t>
  </si>
  <si>
    <t>3325</t>
  </si>
  <si>
    <t>3326</t>
  </si>
  <si>
    <t>3328</t>
  </si>
  <si>
    <t>3340</t>
  </si>
  <si>
    <t>3341</t>
  </si>
  <si>
    <t>3345</t>
  </si>
  <si>
    <t>3346</t>
  </si>
  <si>
    <t>3347</t>
  </si>
  <si>
    <t>3348</t>
  </si>
  <si>
    <t>3350</t>
  </si>
  <si>
    <t>3354</t>
  </si>
  <si>
    <t>3362</t>
  </si>
  <si>
    <t>3363</t>
  </si>
  <si>
    <t>3364</t>
  </si>
  <si>
    <t>3371</t>
  </si>
  <si>
    <t>3607</t>
  </si>
  <si>
    <t>3608</t>
  </si>
  <si>
    <t>3609</t>
  </si>
  <si>
    <t>3685</t>
  </si>
  <si>
    <t>3687</t>
  </si>
  <si>
    <t>3688</t>
  </si>
  <si>
    <t>3689</t>
  </si>
  <si>
    <t>3705</t>
  </si>
  <si>
    <t>3706</t>
  </si>
  <si>
    <t>3708</t>
  </si>
  <si>
    <t>3712</t>
  </si>
  <si>
    <t>3713</t>
  </si>
  <si>
    <t>3716</t>
  </si>
  <si>
    <t>3721</t>
  </si>
  <si>
    <t>3722</t>
  </si>
  <si>
    <t>3726</t>
  </si>
  <si>
    <t>3727</t>
  </si>
  <si>
    <t>3731</t>
  </si>
  <si>
    <t>3733</t>
  </si>
  <si>
    <t>3740</t>
  </si>
  <si>
    <t>3743</t>
  </si>
  <si>
    <t>3746</t>
  </si>
  <si>
    <t>3747</t>
  </si>
  <si>
    <t>3750</t>
  </si>
  <si>
    <t>3752</t>
  </si>
  <si>
    <t>3753</t>
  </si>
  <si>
    <t>3755</t>
  </si>
  <si>
    <t>3756</t>
  </si>
  <si>
    <t>3760</t>
  </si>
  <si>
    <t>3761</t>
  </si>
  <si>
    <t>3765</t>
  </si>
  <si>
    <t>3766</t>
  </si>
  <si>
    <t>3768</t>
  </si>
  <si>
    <t>3770</t>
  </si>
  <si>
    <t>3772</t>
  </si>
  <si>
    <t>3774</t>
  </si>
  <si>
    <t>3776</t>
  </si>
  <si>
    <t>3777</t>
  </si>
  <si>
    <t>3778</t>
  </si>
  <si>
    <t>3779</t>
  </si>
  <si>
    <t>3781</t>
  </si>
  <si>
    <t>3782</t>
  </si>
  <si>
    <t>3787</t>
  </si>
  <si>
    <t>3790</t>
  </si>
  <si>
    <t>3799</t>
  </si>
  <si>
    <t>3801</t>
  </si>
  <si>
    <t>3802</t>
  </si>
  <si>
    <t>3803</t>
  </si>
  <si>
    <t>3804</t>
  </si>
  <si>
    <t>3805</t>
  </si>
  <si>
    <t>3806</t>
  </si>
  <si>
    <t>3807</t>
  </si>
  <si>
    <t>3808</t>
  </si>
  <si>
    <t>3809</t>
  </si>
  <si>
    <t>3810</t>
  </si>
  <si>
    <t>3811</t>
  </si>
  <si>
    <t>3812</t>
  </si>
  <si>
    <t>3813</t>
  </si>
  <si>
    <t>3814</t>
  </si>
  <si>
    <t>3815</t>
  </si>
  <si>
    <t>3816</t>
  </si>
  <si>
    <t>3817</t>
  </si>
  <si>
    <t>3818</t>
  </si>
  <si>
    <t>3819</t>
  </si>
  <si>
    <t>3820</t>
  </si>
  <si>
    <t>3821</t>
  </si>
  <si>
    <t>3822</t>
  </si>
  <si>
    <t>3823</t>
  </si>
  <si>
    <t>3824</t>
  </si>
  <si>
    <t>3825</t>
  </si>
  <si>
    <t>3826</t>
  </si>
  <si>
    <t>3827</t>
  </si>
  <si>
    <t>3828</t>
  </si>
  <si>
    <t>3829</t>
  </si>
  <si>
    <t>3830</t>
  </si>
  <si>
    <t>3831</t>
  </si>
  <si>
    <t>3832</t>
  </si>
  <si>
    <t>3833</t>
  </si>
  <si>
    <t>3834</t>
  </si>
  <si>
    <t>3835</t>
  </si>
  <si>
    <t>3836</t>
  </si>
  <si>
    <t>3837</t>
  </si>
  <si>
    <t>3838</t>
  </si>
  <si>
    <t>3839</t>
  </si>
  <si>
    <t>3840</t>
  </si>
  <si>
    <t>3841</t>
  </si>
  <si>
    <t>3842</t>
  </si>
  <si>
    <t>3843</t>
  </si>
  <si>
    <t>3844</t>
  </si>
  <si>
    <t>3845</t>
  </si>
  <si>
    <t>3846</t>
  </si>
  <si>
    <t>3847</t>
  </si>
  <si>
    <t>3848</t>
  </si>
  <si>
    <t>3849</t>
  </si>
  <si>
    <t>3850</t>
  </si>
  <si>
    <t>3851</t>
  </si>
  <si>
    <t>3852</t>
  </si>
  <si>
    <t>3853</t>
  </si>
  <si>
    <t>3854</t>
  </si>
  <si>
    <t>3855</t>
  </si>
  <si>
    <t>3856</t>
  </si>
  <si>
    <t>3857</t>
  </si>
  <si>
    <t>3858</t>
  </si>
  <si>
    <t>3859</t>
  </si>
  <si>
    <t>3860</t>
  </si>
  <si>
    <t>3861</t>
  </si>
  <si>
    <t>3862</t>
  </si>
  <si>
    <t>3863</t>
  </si>
  <si>
    <t>3864</t>
  </si>
  <si>
    <t>3865</t>
  </si>
  <si>
    <t>3866</t>
  </si>
  <si>
    <t>R</t>
    <phoneticPr fontId="2"/>
  </si>
  <si>
    <t>G</t>
    <phoneticPr fontId="2"/>
  </si>
  <si>
    <t>B</t>
    <phoneticPr fontId="2"/>
  </si>
  <si>
    <t>番号</t>
    <rPh sb="0" eb="2">
      <t>バンゴウ</t>
    </rPh>
    <phoneticPr fontId="2"/>
  </si>
  <si>
    <t>R</t>
    <phoneticPr fontId="2"/>
  </si>
  <si>
    <t>G</t>
    <phoneticPr fontId="2"/>
  </si>
  <si>
    <t>B</t>
    <phoneticPr fontId="2"/>
  </si>
  <si>
    <t>y=11.885</t>
    <phoneticPr fontId="2"/>
  </si>
  <si>
    <t>(0,0)</t>
    <phoneticPr fontId="2"/>
  </si>
  <si>
    <t>(-548.5,0)</t>
    <phoneticPr fontId="2"/>
  </si>
  <si>
    <t>(0,-1000)</t>
    <phoneticPr fontId="2"/>
  </si>
  <si>
    <t>(411.5,0)</t>
    <phoneticPr fontId="2"/>
  </si>
  <si>
    <t>(548.5,0)</t>
    <phoneticPr fontId="2"/>
  </si>
  <si>
    <t>(1048.5,0)</t>
    <phoneticPr fontId="2"/>
  </si>
  <si>
    <t>(1048.5,-1000)</t>
    <phoneticPr fontId="2"/>
  </si>
  <si>
    <t>(0,1188.5)</t>
    <phoneticPr fontId="2"/>
  </si>
  <si>
    <t>(0,2188)</t>
    <phoneticPr fontId="2"/>
  </si>
  <si>
    <t>(0,2376)</t>
    <phoneticPr fontId="2"/>
  </si>
  <si>
    <t>(0,3376)</t>
    <phoneticPr fontId="2"/>
  </si>
  <si>
    <t>(0,1000)</t>
    <phoneticPr fontId="2"/>
  </si>
  <si>
    <t>(500,4375)</t>
    <phoneticPr fontId="2"/>
  </si>
  <si>
    <t>(2096,0)</t>
    <phoneticPr fontId="2"/>
  </si>
  <si>
    <t>(0,4376)</t>
    <phoneticPr fontId="2"/>
  </si>
  <si>
    <t>(1048,4376)</t>
    <phoneticPr fontId="2"/>
  </si>
  <si>
    <t>(2096,4376)</t>
    <phoneticPr fontId="2"/>
  </si>
  <si>
    <t>(1459,4376)</t>
    <phoneticPr fontId="2"/>
  </si>
  <si>
    <t>(1596,4376)</t>
    <phoneticPr fontId="2"/>
  </si>
  <si>
    <t>(1596,3376)</t>
    <phoneticPr fontId="2"/>
  </si>
  <si>
    <t>(500,3376)</t>
    <phoneticPr fontId="2"/>
  </si>
  <si>
    <t>(500,2827)</t>
    <phoneticPr fontId="2"/>
  </si>
  <si>
    <t>(1596,1000)</t>
    <phoneticPr fontId="2"/>
  </si>
  <si>
    <t>(500,1000)</t>
    <phoneticPr fontId="2"/>
  </si>
  <si>
    <t>x=-612</t>
    <phoneticPr fontId="2"/>
  </si>
  <si>
    <t>x=</t>
    <phoneticPr fontId="2"/>
  </si>
  <si>
    <t>プレーヤー</t>
    <phoneticPr fontId="2"/>
  </si>
  <si>
    <t>スピード</t>
    <phoneticPr fontId="2"/>
  </si>
  <si>
    <t>秒速(m/s)</t>
    <rPh sb="0" eb="2">
      <t>ビョウソク</t>
    </rPh>
    <phoneticPr fontId="2"/>
  </si>
  <si>
    <t>時速(km/h)</t>
    <rPh sb="0" eb="2">
      <t>ジソク</t>
    </rPh>
    <phoneticPr fontId="2"/>
  </si>
  <si>
    <t>cm/コマ</t>
    <phoneticPr fontId="2"/>
  </si>
  <si>
    <t>サービス</t>
    <phoneticPr fontId="2"/>
  </si>
  <si>
    <t>加速度</t>
    <rPh sb="0" eb="3">
      <t>カソクド</t>
    </rPh>
    <phoneticPr fontId="2"/>
  </si>
  <si>
    <t>(m/s2)</t>
    <phoneticPr fontId="2"/>
  </si>
  <si>
    <t>(cm/コマ)</t>
    <phoneticPr fontId="2"/>
  </si>
  <si>
    <t>速度</t>
    <rPh sb="0" eb="2">
      <t>ソクド</t>
    </rPh>
    <phoneticPr fontId="2"/>
  </si>
  <si>
    <t>v0*v0/a/2</t>
    <phoneticPr fontId="14"/>
  </si>
  <si>
    <t>t=v0/a</t>
    <phoneticPr fontId="14"/>
  </si>
  <si>
    <t>a</t>
    <phoneticPr fontId="14"/>
  </si>
  <si>
    <t>v=v0</t>
    <phoneticPr fontId="14"/>
  </si>
  <si>
    <t>距離</t>
    <rPh sb="0" eb="2">
      <t>キョリ</t>
    </rPh>
    <phoneticPr fontId="14"/>
  </si>
  <si>
    <t>時間</t>
    <rPh sb="0" eb="2">
      <t>ジカン</t>
    </rPh>
    <phoneticPr fontId="14"/>
  </si>
  <si>
    <t>減速でaで到達できる距離</t>
    <rPh sb="0" eb="2">
      <t>ゲンソク</t>
    </rPh>
    <rPh sb="5" eb="7">
      <t>トウタツ</t>
    </rPh>
    <rPh sb="10" eb="12">
      <t>キョリ</t>
    </rPh>
    <phoneticPr fontId="14"/>
  </si>
  <si>
    <t>V</t>
    <phoneticPr fontId="14"/>
  </si>
  <si>
    <t>vy</t>
    <phoneticPr fontId="14"/>
  </si>
  <si>
    <t>vx</t>
    <phoneticPr fontId="14"/>
  </si>
  <si>
    <t>xydelta</t>
    <phoneticPr fontId="14"/>
  </si>
  <si>
    <t>トータルの</t>
    <phoneticPr fontId="14"/>
  </si>
  <si>
    <t>停止まで</t>
    <rPh sb="0" eb="2">
      <t>テイシ</t>
    </rPh>
    <phoneticPr fontId="14"/>
  </si>
  <si>
    <t>減速</t>
    <rPh sb="0" eb="2">
      <t>ゲンソク</t>
    </rPh>
    <phoneticPr fontId="14"/>
  </si>
  <si>
    <t>等速</t>
    <rPh sb="0" eb="2">
      <t>トウソク</t>
    </rPh>
    <phoneticPr fontId="14"/>
  </si>
  <si>
    <t>加速中の</t>
    <rPh sb="0" eb="2">
      <t>カソク</t>
    </rPh>
    <rPh sb="2" eb="3">
      <t>チュウ</t>
    </rPh>
    <phoneticPr fontId="14"/>
  </si>
  <si>
    <t>maxspeed</t>
    <phoneticPr fontId="14"/>
  </si>
  <si>
    <t>vmax xa</t>
    <phoneticPr fontId="14"/>
  </si>
  <si>
    <t>t4</t>
    <phoneticPr fontId="14"/>
  </si>
  <si>
    <t>移動距離(xe-x3)</t>
    <rPh sb="0" eb="4">
      <t>イドウキョリ</t>
    </rPh>
    <phoneticPr fontId="14"/>
  </si>
  <si>
    <t>t3</t>
    <phoneticPr fontId="14"/>
  </si>
  <si>
    <t>移動距離(xe-x2)</t>
    <rPh sb="0" eb="4">
      <t>イドウキョリ</t>
    </rPh>
    <phoneticPr fontId="14"/>
  </si>
  <si>
    <t>x2,y2</t>
    <phoneticPr fontId="14"/>
  </si>
  <si>
    <t>vmax-v0 x a</t>
    <phoneticPr fontId="14"/>
  </si>
  <si>
    <t>t2</t>
    <phoneticPr fontId="14"/>
  </si>
  <si>
    <t>加速</t>
    <rPh sb="0" eb="2">
      <t>カソク</t>
    </rPh>
    <phoneticPr fontId="14"/>
  </si>
  <si>
    <t>x0,y0</t>
    <phoneticPr fontId="14"/>
  </si>
  <si>
    <t>radxomga</t>
    <phoneticPr fontId="14"/>
  </si>
  <si>
    <t>t1</t>
    <phoneticPr fontId="14"/>
  </si>
  <si>
    <t>回転</t>
    <rPh sb="0" eb="2">
      <t>カイテン</t>
    </rPh>
    <phoneticPr fontId="14"/>
  </si>
  <si>
    <t>移動距離</t>
    <rPh sb="0" eb="4">
      <t>イドウキョリ</t>
    </rPh>
    <phoneticPr fontId="14"/>
  </si>
  <si>
    <t>起点</t>
    <rPh sb="0" eb="2">
      <t>キテン</t>
    </rPh>
    <phoneticPr fontId="14"/>
  </si>
  <si>
    <t>初速</t>
    <rPh sb="0" eb="2">
      <t>ショソク</t>
    </rPh>
    <phoneticPr fontId="14"/>
  </si>
  <si>
    <t>移動可能時間</t>
    <rPh sb="0" eb="6">
      <t>イドウカノウジカン</t>
    </rPh>
    <phoneticPr fontId="14"/>
  </si>
  <si>
    <t>回転　加速　等速　減速</t>
    <rPh sb="0" eb="2">
      <t>カイテン</t>
    </rPh>
    <rPh sb="3" eb="5">
      <t>カソク</t>
    </rPh>
    <rPh sb="6" eb="8">
      <t>トウソク</t>
    </rPh>
    <rPh sb="9" eb="11">
      <t>ゲンソク</t>
    </rPh>
    <phoneticPr fontId="14"/>
  </si>
  <si>
    <t>ay</t>
    <phoneticPr fontId="14"/>
  </si>
  <si>
    <t>ax</t>
    <phoneticPr fontId="14"/>
  </si>
  <si>
    <t>vy(m/s)</t>
    <phoneticPr fontId="14"/>
  </si>
  <si>
    <t>vx(m/s)</t>
    <phoneticPr fontId="14"/>
  </si>
  <si>
    <t>y</t>
    <phoneticPr fontId="14"/>
  </si>
  <si>
    <t>x</t>
    <phoneticPr fontId="14"/>
  </si>
  <si>
    <t>目標</t>
    <rPh sb="0" eb="2">
      <t>モクヒョウ</t>
    </rPh>
    <phoneticPr fontId="14"/>
  </si>
  <si>
    <t>時間10</t>
    <rPh sb="0" eb="2">
      <t>ジカン</t>
    </rPh>
    <phoneticPr fontId="14"/>
  </si>
  <si>
    <t>最大速度</t>
    <rPh sb="0" eb="2">
      <t>サイダイ</t>
    </rPh>
    <rPh sb="2" eb="4">
      <t>ソクド</t>
    </rPh>
    <phoneticPr fontId="14"/>
  </si>
  <si>
    <t>最大加速</t>
    <rPh sb="0" eb="2">
      <t>サイダイ</t>
    </rPh>
    <rPh sb="2" eb="4">
      <t>カソク</t>
    </rPh>
    <phoneticPr fontId="14"/>
  </si>
  <si>
    <t>目標までの距離</t>
    <rPh sb="0" eb="2">
      <t>モクヒョウ</t>
    </rPh>
    <rPh sb="5" eb="7">
      <t>キョリ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</si>
</sst>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0.0_ "/>
  </numFmts>
  <fonts count="15" x14ac:knownFonts="1">
    <font>
      <sz val="11"/>
      <color theme="1"/>
      <name val="ＭＳ Ｐゴシック"/>
      <family val="2"/>
      <charset val="128"/>
      <scheme val="minor"/>
    </font>
    <font>
      <sz val="9"/>
      <color theme="1"/>
      <name val="ＭＳ ゴシック"/>
      <family val="2"/>
      <charset val="128"/>
    </font>
    <font>
      <sz val="6"/>
      <name val="ＭＳ Ｐゴシック"/>
      <family val="2"/>
      <charset val="128"/>
      <scheme val="minor"/>
    </font>
    <font>
      <i/>
      <sz val="11"/>
      <color theme="0" tint="-0.34998626667073579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rgb="FF00B0F0"/>
      <name val="ＭＳ Ｐゴシック"/>
      <family val="2"/>
      <charset val="128"/>
      <scheme val="minor"/>
    </font>
    <font>
      <sz val="11"/>
      <color rgb="FF00B0F0"/>
      <name val="ＭＳ Ｐゴシック"/>
      <family val="2"/>
      <charset val="128"/>
      <scheme val="minor"/>
    </font>
    <font>
      <sz val="9"/>
      <color rgb="FF00B0F0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1"/>
      <color rgb="FF0070C0"/>
      <name val="ＭＳ Ｐゴシック"/>
      <family val="2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6"/>
      <name val="ＭＳ ゴシック"/>
      <family val="2"/>
      <charset val="128"/>
    </font>
  </fonts>
  <fills count="95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5F1D5F"/>
        <bgColor indexed="64"/>
      </patternFill>
    </fill>
    <fill>
      <patternFill patternType="solid">
        <fgColor rgb="FF289728"/>
        <bgColor indexed="64"/>
      </patternFill>
    </fill>
    <fill>
      <patternFill patternType="solid">
        <fgColor rgb="FF868F98"/>
        <bgColor indexed="64"/>
      </patternFill>
    </fill>
    <fill>
      <patternFill patternType="solid">
        <fgColor rgb="FF988F86"/>
        <bgColor indexed="64"/>
      </patternFill>
    </fill>
    <fill>
      <patternFill patternType="solid">
        <fgColor rgb="FF323532"/>
        <bgColor indexed="64"/>
      </patternFill>
    </fill>
    <fill>
      <patternFill patternType="solid">
        <fgColor rgb="FFCDD3CD"/>
        <bgColor indexed="64"/>
      </patternFill>
    </fill>
    <fill>
      <patternFill patternType="solid">
        <fgColor rgb="FFFCE016"/>
        <bgColor indexed="64"/>
      </patternFill>
    </fill>
    <fill>
      <patternFill patternType="solid">
        <fgColor rgb="FFF3ED86"/>
        <bgColor indexed="64"/>
      </patternFill>
    </fill>
    <fill>
      <patternFill patternType="solid">
        <fgColor rgb="FFF5EC62"/>
        <bgColor indexed="64"/>
      </patternFill>
    </fill>
    <fill>
      <patternFill patternType="solid">
        <fgColor rgb="FFFAE600"/>
        <bgColor indexed="64"/>
      </patternFill>
    </fill>
    <fill>
      <patternFill patternType="solid">
        <fgColor rgb="FFCAAD00"/>
        <bgColor indexed="64"/>
      </patternFill>
    </fill>
    <fill>
      <patternFill patternType="solid">
        <fgColor rgb="FFAC9600"/>
        <bgColor indexed="64"/>
      </patternFill>
    </fill>
    <fill>
      <patternFill patternType="solid">
        <fgColor rgb="FF817214"/>
        <bgColor indexed="64"/>
      </patternFill>
    </fill>
    <fill>
      <patternFill patternType="solid">
        <fgColor rgb="FFF6E761"/>
        <bgColor indexed="64"/>
      </patternFill>
    </fill>
    <fill>
      <patternFill patternType="solid">
        <fgColor rgb="FFFAE22F"/>
        <bgColor indexed="64"/>
      </patternFill>
    </fill>
    <fill>
      <patternFill patternType="solid">
        <fgColor rgb="FFFEDB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DBAE00"/>
        <bgColor indexed="64"/>
      </patternFill>
    </fill>
    <fill>
      <patternFill patternType="solid">
        <fgColor rgb="FFAF8F00"/>
        <bgColor indexed="64"/>
      </patternFill>
    </fill>
    <fill>
      <patternFill patternType="solid">
        <fgColor rgb="FF998000"/>
        <bgColor indexed="64"/>
      </patternFill>
    </fill>
    <fill>
      <patternFill patternType="solid">
        <fgColor rgb="FFFAE15A"/>
        <bgColor indexed="64"/>
      </patternFill>
    </fill>
    <fill>
      <patternFill patternType="solid">
        <fgColor rgb="FFFAE051"/>
        <bgColor indexed="64"/>
      </patternFill>
    </fill>
    <fill>
      <patternFill patternType="solid">
        <fgColor rgb="FFFBDE4A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CE9D00"/>
        <bgColor indexed="64"/>
      </patternFill>
    </fill>
    <fill>
      <patternFill patternType="solid">
        <fgColor rgb="FFB38A00"/>
        <bgColor indexed="64"/>
      </patternFill>
    </fill>
    <fill>
      <patternFill patternType="solid">
        <fgColor rgb="FF8A761A"/>
        <bgColor indexed="64"/>
      </patternFill>
    </fill>
    <fill>
      <patternFill patternType="solid">
        <fgColor rgb="FFF9DF79"/>
        <bgColor indexed="64"/>
      </patternFill>
    </fill>
    <fill>
      <patternFill patternType="solid">
        <fgColor rgb="FFFBDB6E"/>
        <bgColor indexed="64"/>
      </patternFill>
    </fill>
    <fill>
      <patternFill patternType="solid">
        <fgColor rgb="FFFDD44F"/>
        <bgColor indexed="64"/>
      </patternFill>
    </fill>
    <fill>
      <patternFill patternType="solid">
        <fgColor rgb="FFFFC726"/>
        <bgColor indexed="64"/>
      </patternFill>
    </fill>
    <fill>
      <patternFill patternType="solid">
        <fgColor rgb="FFEBAB00"/>
        <bgColor indexed="64"/>
      </patternFill>
    </fill>
    <fill>
      <patternFill patternType="solid">
        <fgColor rgb="FFBB8900"/>
        <bgColor indexed="64"/>
      </patternFill>
    </fill>
    <fill>
      <patternFill patternType="solid">
        <fgColor rgb="FFA17C00"/>
        <bgColor indexed="64"/>
      </patternFill>
    </fill>
    <fill>
      <patternFill patternType="solid">
        <fgColor rgb="FFEFDF85"/>
        <bgColor indexed="64"/>
      </patternFill>
    </fill>
    <fill>
      <patternFill patternType="solid">
        <fgColor rgb="FFF2D65E"/>
        <bgColor indexed="64"/>
      </patternFill>
    </fill>
    <fill>
      <patternFill patternType="solid">
        <fgColor rgb="FFF1CD44"/>
        <bgColor indexed="64"/>
      </patternFill>
    </fill>
    <fill>
      <patternFill patternType="solid">
        <fgColor rgb="FFF1AB00"/>
        <bgColor indexed="64"/>
      </patternFill>
    </fill>
    <fill>
      <patternFill patternType="solid">
        <fgColor rgb="FFD49100"/>
        <bgColor indexed="64"/>
      </patternFill>
    </fill>
    <fill>
      <patternFill patternType="solid">
        <fgColor rgb="FFA67A00"/>
        <bgColor indexed="64"/>
      </patternFill>
    </fill>
    <fill>
      <patternFill patternType="solid">
        <fgColor rgb="FF715913"/>
        <bgColor indexed="64"/>
      </patternFill>
    </fill>
    <fill>
      <patternFill patternType="solid">
        <fgColor rgb="FFF8D583"/>
        <bgColor indexed="64"/>
      </patternFill>
    </fill>
    <fill>
      <patternFill patternType="solid">
        <fgColor rgb="FFFEC85A"/>
        <bgColor indexed="64"/>
      </patternFill>
    </fill>
    <fill>
      <patternFill patternType="solid">
        <fgColor rgb="FFFFBC3A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E47F00"/>
        <bgColor indexed="64"/>
      </patternFill>
    </fill>
    <fill>
      <patternFill patternType="solid">
        <fgColor rgb="FFB67100"/>
        <bgColor indexed="64"/>
      </patternFill>
    </fill>
    <fill>
      <patternFill patternType="solid">
        <fgColor rgb="FF7A560F"/>
        <bgColor indexed="64"/>
      </patternFill>
    </fill>
    <fill>
      <patternFill patternType="solid">
        <fgColor rgb="FFEFC868"/>
        <bgColor indexed="64"/>
      </patternFill>
    </fill>
    <fill>
      <patternFill patternType="solid">
        <fgColor rgb="FFF1BB46"/>
        <bgColor indexed="64"/>
      </patternFill>
    </fill>
    <fill>
      <patternFill patternType="solid">
        <fgColor rgb="FFEFAA23"/>
        <bgColor indexed="64"/>
      </patternFill>
    </fill>
    <fill>
      <patternFill patternType="solid">
        <fgColor rgb="FFED8000"/>
        <bgColor indexed="64"/>
      </patternFill>
    </fill>
    <fill>
      <patternFill patternType="solid">
        <fgColor rgb="FFCF7600"/>
        <bgColor indexed="64"/>
      </patternFill>
    </fill>
    <fill>
      <patternFill patternType="solid">
        <fgColor rgb="FF9F6000"/>
        <bgColor indexed="64"/>
      </patternFill>
    </fill>
    <fill>
      <patternFill patternType="solid">
        <fgColor rgb="FF715821"/>
        <bgColor indexed="64"/>
      </patternFill>
    </fill>
    <fill>
      <patternFill patternType="solid">
        <fgColor rgb="FFFBD09D"/>
        <bgColor indexed="64"/>
      </patternFill>
    </fill>
    <fill>
      <patternFill patternType="solid">
        <fgColor rgb="FFFEC688"/>
        <bgColor indexed="64"/>
      </patternFill>
    </fill>
    <fill>
      <patternFill patternType="solid">
        <fgColor rgb="FFFFA94F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E76F00"/>
        <bgColor indexed="64"/>
      </patternFill>
    </fill>
    <fill>
      <patternFill patternType="solid">
        <fgColor rgb="FFC06600"/>
        <bgColor indexed="64"/>
      </patternFill>
    </fill>
    <fill>
      <patternFill patternType="solid">
        <fgColor rgb="FF995409"/>
        <bgColor indexed="64"/>
      </patternFill>
    </fill>
    <fill>
      <patternFill patternType="solid">
        <fgColor rgb="FFECD6AF"/>
        <bgColor indexed="64"/>
      </patternFill>
    </fill>
    <fill>
      <patternFill patternType="solid">
        <fgColor rgb="FFEFC18A"/>
        <bgColor indexed="64"/>
      </patternFill>
    </fill>
    <fill>
      <patternFill patternType="solid">
        <fgColor rgb="FFED9B4F"/>
        <bgColor indexed="64"/>
      </patternFill>
    </fill>
    <fill>
      <patternFill patternType="solid">
        <fgColor rgb="FFE96B10"/>
        <bgColor indexed="64"/>
      </patternFill>
    </fill>
    <fill>
      <patternFill patternType="solid">
        <fgColor rgb="FFCD5806"/>
        <bgColor indexed="64"/>
      </patternFill>
    </fill>
    <fill>
      <patternFill patternType="solid">
        <fgColor rgb="FFA24E12"/>
        <bgColor indexed="64"/>
      </patternFill>
    </fill>
    <fill>
      <patternFill patternType="solid">
        <fgColor rgb="FF613517"/>
        <bgColor indexed="64"/>
      </patternFill>
    </fill>
    <fill>
      <patternFill patternType="solid">
        <fgColor rgb="FFFDC3AA"/>
        <bgColor indexed="64"/>
      </patternFill>
    </fill>
    <fill>
      <patternFill patternType="solid">
        <fgColor rgb="FFFF9C71"/>
        <bgColor indexed="64"/>
      </patternFill>
    </fill>
    <fill>
      <patternFill patternType="solid">
        <fgColor rgb="FFFF7E43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E55300"/>
        <bgColor indexed="64"/>
      </patternFill>
    </fill>
    <fill>
      <patternFill patternType="solid">
        <fgColor rgb="FFC2510F"/>
        <bgColor indexed="64"/>
      </patternFill>
    </fill>
    <fill>
      <patternFill patternType="solid">
        <fgColor rgb="FF6F3014"/>
        <bgColor indexed="64"/>
      </patternFill>
    </fill>
    <fill>
      <patternFill patternType="solid">
        <fgColor rgb="FFFFB6B1"/>
        <bgColor indexed="64"/>
      </patternFill>
    </fill>
    <fill>
      <patternFill patternType="solid">
        <fgColor rgb="FFFF897B"/>
        <bgColor indexed="64"/>
      </patternFill>
    </fill>
    <fill>
      <patternFill patternType="solid">
        <fgColor rgb="FFFF6141"/>
        <bgColor indexed="64"/>
      </patternFill>
    </fill>
    <fill>
      <patternFill patternType="solid">
        <fgColor rgb="FFFD4703"/>
        <bgColor indexed="64"/>
      </patternFill>
    </fill>
    <fill>
      <patternFill patternType="solid">
        <fgColor rgb="FFD84519"/>
        <bgColor indexed="64"/>
      </patternFill>
    </fill>
    <fill>
      <patternFill patternType="solid">
        <fgColor rgb="FF9A3416"/>
        <bgColor indexed="64"/>
      </patternFill>
    </fill>
    <fill>
      <patternFill patternType="solid">
        <fgColor rgb="FF703222"/>
        <bgColor indexed="64"/>
      </patternFill>
    </fill>
    <fill>
      <patternFill patternType="solid">
        <fgColor rgb="FFFFACB9"/>
        <bgColor indexed="64"/>
      </patternFill>
    </fill>
    <fill>
      <patternFill patternType="solid">
        <fgColor rgb="FFFF818C"/>
        <bgColor indexed="64"/>
      </patternFill>
    </fill>
    <fill>
      <patternFill patternType="solid">
        <fgColor rgb="FFFF5B60"/>
        <bgColor indexed="64"/>
      </patternFill>
    </fill>
    <fill>
      <patternFill patternType="solid">
        <fgColor rgb="FFF93F26"/>
        <bgColor indexed="64"/>
      </patternFill>
    </fill>
    <fill>
      <patternFill patternType="solid">
        <fgColor rgb="FFE23828"/>
        <bgColor indexed="64"/>
      </patternFill>
    </fill>
    <fill>
      <patternFill patternType="solid">
        <fgColor rgb="FFC0362C"/>
        <bgColor indexed="64"/>
      </patternFill>
    </fill>
    <fill>
      <patternFill patternType="solid">
        <fgColor rgb="FF792720"/>
        <bgColor indexed="64"/>
      </patternFill>
    </fill>
    <fill>
      <patternFill patternType="solid">
        <fgColor rgb="FFF8B8CB"/>
        <bgColor indexed="64"/>
      </patternFill>
    </fill>
    <fill>
      <patternFill patternType="solid">
        <fgColor rgb="FFFC8DA9"/>
        <bgColor indexed="64"/>
      </patternFill>
    </fill>
    <fill>
      <patternFill patternType="solid">
        <fgColor rgb="FFF85D7E"/>
        <bgColor indexed="64"/>
      </patternFill>
    </fill>
    <fill>
      <patternFill patternType="solid">
        <fgColor rgb="FFEA0437"/>
        <bgColor indexed="64"/>
      </patternFill>
    </fill>
    <fill>
      <patternFill patternType="solid">
        <fgColor rgb="FFD21034"/>
        <bgColor indexed="64"/>
      </patternFill>
    </fill>
    <fill>
      <patternFill patternType="solid">
        <fgColor rgb="FFB31B34"/>
        <bgColor indexed="64"/>
      </patternFill>
    </fill>
    <fill>
      <patternFill patternType="solid">
        <fgColor rgb="FF7C2230"/>
        <bgColor indexed="64"/>
      </patternFill>
    </fill>
    <fill>
      <patternFill patternType="solid">
        <fgColor rgb="FFF8A1BE"/>
        <bgColor indexed="64"/>
      </patternFill>
    </fill>
    <fill>
      <patternFill patternType="solid">
        <fgColor rgb="FFF8779E"/>
        <bgColor indexed="64"/>
      </patternFill>
    </fill>
    <fill>
      <patternFill patternType="solid">
        <fgColor rgb="FFF23F72"/>
        <bgColor indexed="64"/>
      </patternFill>
    </fill>
    <fill>
      <patternFill patternType="solid">
        <fgColor rgb="FFE90649"/>
        <bgColor indexed="64"/>
      </patternFill>
    </fill>
    <fill>
      <patternFill patternType="solid">
        <fgColor rgb="FFC30C3E"/>
        <bgColor indexed="64"/>
      </patternFill>
    </fill>
    <fill>
      <patternFill patternType="solid">
        <fgColor rgb="FF9C1E3D"/>
        <bgColor indexed="64"/>
      </patternFill>
    </fill>
    <fill>
      <patternFill patternType="solid">
        <fgColor rgb="FF773141"/>
        <bgColor indexed="64"/>
      </patternFill>
    </fill>
    <fill>
      <patternFill patternType="solid">
        <fgColor rgb="FFEBC6D3"/>
        <bgColor indexed="64"/>
      </patternFill>
    </fill>
    <fill>
      <patternFill patternType="solid">
        <fgColor rgb="FFEB9BB2"/>
        <bgColor indexed="64"/>
      </patternFill>
    </fill>
    <fill>
      <patternFill patternType="solid">
        <fgColor rgb="FFE44D6F"/>
        <bgColor indexed="64"/>
      </patternFill>
    </fill>
    <fill>
      <patternFill patternType="solid">
        <fgColor rgb="FFDB0C41"/>
        <bgColor indexed="64"/>
      </patternFill>
    </fill>
    <fill>
      <patternFill patternType="solid">
        <fgColor rgb="FFC10435"/>
        <bgColor indexed="64"/>
      </patternFill>
    </fill>
    <fill>
      <patternFill patternType="solid">
        <fgColor rgb="FF9E1B34"/>
        <bgColor indexed="64"/>
      </patternFill>
    </fill>
    <fill>
      <patternFill patternType="solid">
        <fgColor rgb="FF892034"/>
        <bgColor indexed="64"/>
      </patternFill>
    </fill>
    <fill>
      <patternFill patternType="solid">
        <fgColor rgb="FFEBADCD"/>
        <bgColor indexed="64"/>
      </patternFill>
    </fill>
    <fill>
      <patternFill patternType="solid">
        <fgColor rgb="FFE87BAC"/>
        <bgColor indexed="64"/>
      </patternFill>
    </fill>
    <fill>
      <patternFill patternType="solid">
        <fgColor rgb="FFE34585"/>
        <bgColor indexed="64"/>
      </patternFill>
    </fill>
    <fill>
      <patternFill patternType="solid">
        <fgColor rgb="FFD7004D"/>
        <bgColor indexed="64"/>
      </patternFill>
    </fill>
    <fill>
      <patternFill patternType="solid">
        <fgColor rgb="FFB10042"/>
        <bgColor indexed="64"/>
      </patternFill>
    </fill>
    <fill>
      <patternFill patternType="solid">
        <fgColor rgb="FF902147"/>
        <bgColor indexed="64"/>
      </patternFill>
    </fill>
    <fill>
      <patternFill patternType="solid">
        <fgColor rgb="FF752641"/>
        <bgColor indexed="64"/>
      </patternFill>
    </fill>
    <fill>
      <patternFill patternType="solid">
        <fgColor rgb="FFFA9FCC"/>
        <bgColor indexed="64"/>
      </patternFill>
    </fill>
    <fill>
      <patternFill patternType="solid">
        <fgColor rgb="FFF97DB8"/>
        <bgColor indexed="64"/>
      </patternFill>
    </fill>
    <fill>
      <patternFill patternType="solid">
        <fgColor rgb="FFF34E9A"/>
        <bgColor indexed="64"/>
      </patternFill>
    </fill>
    <fill>
      <patternFill patternType="solid">
        <fgColor rgb="FFE61577"/>
        <bgColor indexed="64"/>
      </patternFill>
    </fill>
    <fill>
      <patternFill patternType="solid">
        <fgColor rgb="FFD00063"/>
        <bgColor indexed="64"/>
      </patternFill>
    </fill>
    <fill>
      <patternFill patternType="solid">
        <fgColor rgb="FFAA1054"/>
        <bgColor indexed="64"/>
      </patternFill>
    </fill>
    <fill>
      <patternFill patternType="solid">
        <fgColor rgb="FF7A1D42"/>
        <bgColor indexed="64"/>
      </patternFill>
    </fill>
    <fill>
      <patternFill patternType="solid">
        <fgColor rgb="FFECBBDD"/>
        <bgColor indexed="64"/>
      </patternFill>
    </fill>
    <fill>
      <patternFill patternType="solid">
        <fgColor rgb="FFE86FB8"/>
        <bgColor indexed="64"/>
      </patternFill>
    </fill>
    <fill>
      <patternFill patternType="solid">
        <fgColor rgb="FFE0218A"/>
        <bgColor indexed="64"/>
      </patternFill>
    </fill>
    <fill>
      <patternFill patternType="solid">
        <fgColor rgb="FFD10056"/>
        <bgColor indexed="64"/>
      </patternFill>
    </fill>
    <fill>
      <patternFill patternType="solid">
        <fgColor rgb="FFAE0055"/>
        <bgColor indexed="64"/>
      </patternFill>
    </fill>
    <fill>
      <patternFill patternType="solid">
        <fgColor rgb="FF96004B"/>
        <bgColor indexed="64"/>
      </patternFill>
    </fill>
    <fill>
      <patternFill patternType="solid">
        <fgColor rgb="FF6A1A41"/>
        <bgColor indexed="64"/>
      </patternFill>
    </fill>
    <fill>
      <patternFill patternType="solid">
        <fgColor rgb="FFF293D1"/>
        <bgColor indexed="64"/>
      </patternFill>
    </fill>
    <fill>
      <patternFill patternType="solid">
        <fgColor rgb="FFEF6ABF"/>
        <bgColor indexed="64"/>
      </patternFill>
    </fill>
    <fill>
      <patternFill patternType="solid">
        <fgColor rgb="FFE5239D"/>
        <bgColor indexed="64"/>
      </patternFill>
    </fill>
    <fill>
      <patternFill patternType="solid">
        <fgColor rgb="FFD60077"/>
        <bgColor indexed="64"/>
      </patternFill>
    </fill>
    <fill>
      <patternFill patternType="solid">
        <fgColor rgb="FFAE005F"/>
        <bgColor indexed="64"/>
      </patternFill>
    </fill>
    <fill>
      <patternFill patternType="solid">
        <fgColor rgb="FF8A0753"/>
        <bgColor indexed="64"/>
      </patternFill>
    </fill>
    <fill>
      <patternFill patternType="solid">
        <fgColor rgb="FF6A1D44"/>
        <bgColor indexed="64"/>
      </patternFill>
    </fill>
    <fill>
      <patternFill patternType="solid">
        <fgColor rgb="FFF7A7DB"/>
        <bgColor indexed="64"/>
      </patternFill>
    </fill>
    <fill>
      <patternFill patternType="solid">
        <fgColor rgb="FFF575C9"/>
        <bgColor indexed="64"/>
      </patternFill>
    </fill>
    <fill>
      <patternFill patternType="solid">
        <fgColor rgb="FFEF40B0"/>
        <bgColor indexed="64"/>
      </patternFill>
    </fill>
    <fill>
      <patternFill patternType="solid">
        <fgColor rgb="FFED0091"/>
        <bgColor indexed="64"/>
      </patternFill>
    </fill>
    <fill>
      <patternFill patternType="solid">
        <fgColor rgb="FFC90081"/>
        <bgColor indexed="64"/>
      </patternFill>
    </fill>
    <fill>
      <patternFill patternType="solid">
        <fgColor rgb="FFA6006B"/>
        <bgColor indexed="64"/>
      </patternFill>
    </fill>
    <fill>
      <patternFill patternType="solid">
        <fgColor rgb="FF890857"/>
        <bgColor indexed="64"/>
      </patternFill>
    </fill>
    <fill>
      <patternFill patternType="solid">
        <fgColor rgb="FFF2B0DF"/>
        <bgColor indexed="64"/>
      </patternFill>
    </fill>
    <fill>
      <patternFill patternType="solid">
        <fgColor rgb="FFEE86D3"/>
        <bgColor indexed="64"/>
      </patternFill>
    </fill>
    <fill>
      <patternFill patternType="solid">
        <fgColor rgb="FFE653BC"/>
        <bgColor indexed="64"/>
      </patternFill>
    </fill>
    <fill>
      <patternFill patternType="solid">
        <fgColor rgb="FFE032AF"/>
        <bgColor indexed="64"/>
      </patternFill>
    </fill>
    <fill>
      <patternFill patternType="solid">
        <fgColor rgb="FFC41E99"/>
        <bgColor indexed="64"/>
      </patternFill>
    </fill>
    <fill>
      <patternFill patternType="solid">
        <fgColor rgb="FFAC0481"/>
        <bgColor indexed="64"/>
      </patternFill>
    </fill>
    <fill>
      <patternFill patternType="solid">
        <fgColor rgb="FF7A1A57"/>
        <bgColor indexed="64"/>
      </patternFill>
    </fill>
    <fill>
      <patternFill patternType="solid">
        <fgColor rgb="FFE8B7E5"/>
        <bgColor indexed="64"/>
      </patternFill>
    </fill>
    <fill>
      <patternFill patternType="solid">
        <fgColor rgb="FFE6A2E0"/>
        <bgColor indexed="64"/>
      </patternFill>
    </fill>
    <fill>
      <patternFill patternType="solid">
        <fgColor rgb="FFDF81D6"/>
        <bgColor indexed="64"/>
      </patternFill>
    </fill>
    <fill>
      <patternFill patternType="solid">
        <fgColor rgb="FFC70BAC"/>
        <bgColor indexed="64"/>
      </patternFill>
    </fill>
    <fill>
      <patternFill patternType="solid">
        <fgColor rgb="FFB3009D"/>
        <bgColor indexed="64"/>
      </patternFill>
    </fill>
    <fill>
      <patternFill patternType="solid">
        <fgColor rgb="FF9E0389"/>
        <bgColor indexed="64"/>
      </patternFill>
    </fill>
    <fill>
      <patternFill patternType="solid">
        <fgColor rgb="FF7B2266"/>
        <bgColor indexed="64"/>
      </patternFill>
    </fill>
    <fill>
      <patternFill patternType="solid">
        <fgColor rgb="FFE3C0E6"/>
        <bgColor indexed="64"/>
      </patternFill>
    </fill>
    <fill>
      <patternFill patternType="solid">
        <fgColor rgb="FFD99CE1"/>
        <bgColor indexed="64"/>
      </patternFill>
    </fill>
    <fill>
      <patternFill patternType="solid">
        <fgColor rgb="FFCA65D1"/>
        <bgColor indexed="64"/>
      </patternFill>
    </fill>
    <fill>
      <patternFill patternType="solid">
        <fgColor rgb="FFBF30B5"/>
        <bgColor indexed="64"/>
      </patternFill>
    </fill>
    <fill>
      <patternFill patternType="solid">
        <fgColor rgb="FFA91BB0"/>
        <bgColor indexed="64"/>
      </patternFill>
    </fill>
    <fill>
      <patternFill patternType="solid">
        <fgColor rgb="FF962399"/>
        <bgColor indexed="64"/>
      </patternFill>
    </fill>
    <fill>
      <patternFill patternType="solid">
        <fgColor rgb="FF70266C"/>
        <bgColor indexed="64"/>
      </patternFill>
    </fill>
    <fill>
      <patternFill patternType="solid">
        <fgColor rgb="FFD9BFE0"/>
        <bgColor indexed="64"/>
      </patternFill>
    </fill>
    <fill>
      <patternFill patternType="solid">
        <fgColor rgb="FFCBA4D4"/>
        <bgColor indexed="64"/>
      </patternFill>
    </fill>
    <fill>
      <patternFill patternType="solid">
        <fgColor rgb="FF92499E"/>
        <bgColor indexed="64"/>
      </patternFill>
    </fill>
    <fill>
      <patternFill patternType="solid">
        <fgColor rgb="FF6C1B72"/>
        <bgColor indexed="64"/>
      </patternFill>
    </fill>
    <fill>
      <patternFill patternType="solid">
        <fgColor rgb="FF591E55"/>
        <bgColor indexed="64"/>
      </patternFill>
    </fill>
    <fill>
      <patternFill patternType="solid">
        <fgColor rgb="FF4F2248"/>
        <bgColor indexed="64"/>
      </patternFill>
    </fill>
    <fill>
      <patternFill patternType="solid">
        <fgColor rgb="FFD8CBEB"/>
        <bgColor indexed="64"/>
      </patternFill>
    </fill>
    <fill>
      <patternFill patternType="solid">
        <fgColor rgb="FFBCA8E6"/>
        <bgColor indexed="64"/>
      </patternFill>
    </fill>
    <fill>
      <patternFill patternType="solid">
        <fgColor rgb="FF8D65D2"/>
        <bgColor indexed="64"/>
      </patternFill>
    </fill>
    <fill>
      <patternFill patternType="solid">
        <fgColor rgb="FF6732BA"/>
        <bgColor indexed="64"/>
      </patternFill>
    </fill>
    <fill>
      <patternFill patternType="solid">
        <fgColor rgb="FF4F1F91"/>
        <bgColor indexed="64"/>
      </patternFill>
    </fill>
    <fill>
      <patternFill patternType="solid">
        <fgColor rgb="FF4A217E"/>
        <bgColor indexed="64"/>
      </patternFill>
    </fill>
    <fill>
      <patternFill patternType="solid">
        <fgColor rgb="FF452663"/>
        <bgColor indexed="64"/>
      </patternFill>
    </fill>
    <fill>
      <patternFill patternType="solid">
        <fgColor rgb="FFADACDC"/>
        <bgColor indexed="64"/>
      </patternFill>
    </fill>
    <fill>
      <patternFill patternType="solid">
        <fgColor rgb="FF9490D2"/>
        <bgColor indexed="64"/>
      </patternFill>
    </fill>
    <fill>
      <patternFill patternType="solid">
        <fgColor rgb="FF7973C2"/>
        <bgColor indexed="64"/>
      </patternFill>
    </fill>
    <fill>
      <patternFill patternType="solid">
        <fgColor rgb="FF25177A"/>
        <bgColor indexed="64"/>
      </patternFill>
    </fill>
    <fill>
      <patternFill patternType="solid">
        <fgColor rgb="FF211265"/>
        <bgColor indexed="64"/>
      </patternFill>
    </fill>
    <fill>
      <patternFill patternType="solid">
        <fgColor rgb="FF1D1157"/>
        <bgColor indexed="64"/>
      </patternFill>
    </fill>
    <fill>
      <patternFill patternType="solid">
        <fgColor rgb="FF241A44"/>
        <bgColor indexed="64"/>
      </patternFill>
    </fill>
    <fill>
      <patternFill patternType="solid">
        <fgColor rgb="FFB5D1E8"/>
        <bgColor indexed="64"/>
      </patternFill>
    </fill>
    <fill>
      <patternFill patternType="solid">
        <fgColor rgb="FF8CB4E8"/>
        <bgColor indexed="64"/>
      </patternFill>
    </fill>
    <fill>
      <patternFill patternType="solid">
        <fgColor rgb="FF4189DD"/>
        <bgColor indexed="64"/>
      </patternFill>
    </fill>
    <fill>
      <patternFill patternType="solid">
        <fgColor rgb="FF0C1C8C"/>
        <bgColor indexed="64"/>
      </patternFill>
    </fill>
    <fill>
      <patternFill patternType="solid">
        <fgColor rgb="FF00267F"/>
        <bgColor indexed="64"/>
      </patternFill>
    </fill>
    <fill>
      <patternFill patternType="solid">
        <fgColor rgb="FF002569"/>
        <bgColor indexed="64"/>
      </patternFill>
    </fill>
    <fill>
      <patternFill patternType="solid">
        <fgColor rgb="FF00204E"/>
        <bgColor indexed="64"/>
      </patternFill>
    </fill>
    <fill>
      <patternFill patternType="solid">
        <fgColor rgb="FF93BFEB"/>
        <bgColor indexed="64"/>
      </patternFill>
    </fill>
    <fill>
      <patternFill patternType="solid">
        <fgColor rgb="FF6CABE7"/>
        <bgColor indexed="64"/>
      </patternFill>
    </fill>
    <fill>
      <patternFill patternType="solid">
        <fgColor rgb="FF0077D4"/>
        <bgColor indexed="64"/>
      </patternFill>
    </fill>
    <fill>
      <patternFill patternType="solid">
        <fgColor rgb="FF0035AD"/>
        <bgColor indexed="64"/>
      </patternFill>
    </fill>
    <fill>
      <patternFill patternType="solid">
        <fgColor rgb="FF003798"/>
        <bgColor indexed="64"/>
      </patternFill>
    </fill>
    <fill>
      <patternFill patternType="solid">
        <fgColor rgb="FF003082"/>
        <bgColor indexed="64"/>
      </patternFill>
    </fill>
    <fill>
      <patternFill patternType="solid">
        <fgColor rgb="FF00234C"/>
        <bgColor indexed="64"/>
      </patternFill>
    </fill>
    <fill>
      <patternFill patternType="solid">
        <fgColor rgb="FFBED9ED"/>
        <bgColor indexed="64"/>
      </patternFill>
    </fill>
    <fill>
      <patternFill patternType="solid">
        <fgColor rgb="FFA4CEEC"/>
        <bgColor indexed="64"/>
      </patternFill>
    </fill>
    <fill>
      <patternFill patternType="solid">
        <fgColor rgb="FF6AB2E7"/>
        <bgColor indexed="64"/>
      </patternFill>
    </fill>
    <fill>
      <patternFill patternType="solid">
        <fgColor rgb="FF0047B6"/>
        <bgColor indexed="64"/>
      </patternFill>
    </fill>
    <fill>
      <patternFill patternType="solid">
        <fgColor rgb="FF003580"/>
        <bgColor indexed="64"/>
      </patternFill>
    </fill>
    <fill>
      <patternFill patternType="solid">
        <fgColor rgb="FF002D62"/>
        <bgColor indexed="64"/>
      </patternFill>
    </fill>
    <fill>
      <patternFill patternType="solid">
        <fgColor rgb="FF002740"/>
        <bgColor indexed="64"/>
      </patternFill>
    </fill>
    <fill>
      <patternFill patternType="solid">
        <fgColor rgb="FF78C7EB"/>
        <bgColor indexed="64"/>
      </patternFill>
    </fill>
    <fill>
      <patternFill patternType="solid">
        <fgColor rgb="FF42B4E6"/>
        <bgColor indexed="64"/>
      </patternFill>
    </fill>
    <fill>
      <patternFill patternType="solid">
        <fgColor rgb="FF00A0E2"/>
        <bgColor indexed="64"/>
      </patternFill>
    </fill>
    <fill>
      <patternFill patternType="solid">
        <fgColor rgb="FF0067C6"/>
        <bgColor indexed="64"/>
      </patternFill>
    </fill>
    <fill>
      <patternFill patternType="solid">
        <fgColor rgb="FF00529B"/>
        <bgColor indexed="64"/>
      </patternFill>
    </fill>
    <fill>
      <patternFill patternType="solid">
        <fgColor rgb="FF00436E"/>
        <bgColor indexed="64"/>
      </patternFill>
    </fill>
    <fill>
      <patternFill patternType="solid">
        <fgColor rgb="FF00344D"/>
        <bgColor indexed="64"/>
      </patternFill>
    </fill>
    <fill>
      <patternFill patternType="solid">
        <fgColor rgb="FFA2DBEB"/>
        <bgColor indexed="64"/>
      </patternFill>
    </fill>
    <fill>
      <patternFill patternType="solid">
        <fgColor rgb="FF53CAEB"/>
        <bgColor indexed="64"/>
      </patternFill>
    </fill>
    <fill>
      <patternFill patternType="solid">
        <fgColor rgb="FF00B5E6"/>
        <bgColor indexed="64"/>
      </patternFill>
    </fill>
    <fill>
      <patternFill patternType="solid">
        <fgColor rgb="FF0091C9"/>
        <bgColor indexed="64"/>
      </patternFill>
    </fill>
    <fill>
      <patternFill patternType="solid">
        <fgColor rgb="FF0070B2"/>
        <bgColor indexed="64"/>
      </patternFill>
    </fill>
    <fill>
      <patternFill patternType="solid">
        <fgColor rgb="FF005883"/>
        <bgColor indexed="64"/>
      </patternFill>
    </fill>
    <fill>
      <patternFill patternType="solid">
        <fgColor rgb="FF003947"/>
        <bgColor indexed="64"/>
      </patternFill>
    </fill>
    <fill>
      <patternFill patternType="solid">
        <fgColor rgb="FF66CFE6"/>
        <bgColor indexed="64"/>
      </patternFill>
    </fill>
    <fill>
      <patternFill patternType="solid">
        <fgColor rgb="FF00C2E3"/>
        <bgColor indexed="64"/>
      </patternFill>
    </fill>
    <fill>
      <patternFill patternType="solid">
        <fgColor rgb="FF00A7D4"/>
        <bgColor indexed="64"/>
      </patternFill>
    </fill>
    <fill>
      <patternFill patternType="solid">
        <fgColor rgb="FF0092C7"/>
        <bgColor indexed="64"/>
      </patternFill>
    </fill>
    <fill>
      <patternFill patternType="solid">
        <fgColor rgb="FF007FAC"/>
        <bgColor indexed="64"/>
      </patternFill>
    </fill>
    <fill>
      <patternFill patternType="solid">
        <fgColor rgb="FF006685"/>
        <bgColor indexed="64"/>
      </patternFill>
    </fill>
    <fill>
      <patternFill patternType="solid">
        <fgColor rgb="FF004650"/>
        <bgColor indexed="64"/>
      </patternFill>
    </fill>
    <fill>
      <patternFill patternType="solid">
        <fgColor rgb="FFBFE5EA"/>
        <bgColor indexed="64"/>
      </patternFill>
    </fill>
    <fill>
      <patternFill patternType="solid">
        <fgColor rgb="FF8EDBE5"/>
        <bgColor indexed="64"/>
      </patternFill>
    </fill>
    <fill>
      <patternFill patternType="solid">
        <fgColor rgb="FF36CCDA"/>
        <bgColor indexed="64"/>
      </patternFill>
    </fill>
    <fill>
      <patternFill patternType="solid">
        <fgColor rgb="FF0097AC"/>
        <bgColor indexed="64"/>
      </patternFill>
    </fill>
    <fill>
      <patternFill patternType="solid">
        <fgColor rgb="FF008193"/>
        <bgColor indexed="64"/>
      </patternFill>
    </fill>
    <fill>
      <patternFill patternType="solid">
        <fgColor rgb="FF006F7A"/>
        <bgColor indexed="64"/>
      </patternFill>
    </fill>
    <fill>
      <patternFill patternType="solid">
        <fgColor rgb="FF006068"/>
        <bgColor indexed="64"/>
      </patternFill>
    </fill>
    <fill>
      <patternFill patternType="solid">
        <fgColor rgb="FF98D9DB"/>
        <bgColor indexed="64"/>
      </patternFill>
    </fill>
    <fill>
      <patternFill patternType="solid">
        <fgColor rgb="FF47C7C7"/>
        <bgColor indexed="64"/>
      </patternFill>
    </fill>
    <fill>
      <patternFill patternType="solid">
        <fgColor rgb="FF00AFAD"/>
        <bgColor indexed="64"/>
      </patternFill>
    </fill>
    <fill>
      <patternFill patternType="solid">
        <fgColor rgb="FF008579"/>
        <bgColor indexed="64"/>
      </patternFill>
    </fill>
    <fill>
      <patternFill patternType="solid">
        <fgColor rgb="FF007168"/>
        <bgColor indexed="64"/>
      </patternFill>
    </fill>
    <fill>
      <patternFill patternType="solid">
        <fgColor rgb="FF00625A"/>
        <bgColor indexed="64"/>
      </patternFill>
    </fill>
    <fill>
      <patternFill patternType="solid">
        <fgColor rgb="FF00524D"/>
        <bgColor indexed="64"/>
      </patternFill>
    </fill>
    <fill>
      <patternFill patternType="solid">
        <fgColor rgb="FFB2E7DF"/>
        <bgColor indexed="64"/>
      </patternFill>
    </fill>
    <fill>
      <patternFill patternType="solid">
        <fgColor rgb="FF9FE4DB"/>
        <bgColor indexed="64"/>
      </patternFill>
    </fill>
    <fill>
      <patternFill patternType="solid">
        <fgColor rgb="FF43D9C7"/>
        <bgColor indexed="64"/>
      </patternFill>
    </fill>
    <fill>
      <patternFill patternType="solid">
        <fgColor rgb="FF00AF93"/>
        <bgColor indexed="64"/>
      </patternFill>
    </fill>
    <fill>
      <patternFill patternType="solid">
        <fgColor rgb="FF009878"/>
        <bgColor indexed="64"/>
      </patternFill>
    </fill>
    <fill>
      <patternFill patternType="solid">
        <fgColor rgb="FF007B63"/>
        <bgColor indexed="64"/>
      </patternFill>
    </fill>
    <fill>
      <patternFill patternType="solid">
        <fgColor rgb="FF006651"/>
        <bgColor indexed="64"/>
      </patternFill>
    </fill>
    <fill>
      <patternFill patternType="solid">
        <fgColor rgb="FF94D8C8"/>
        <bgColor indexed="64"/>
      </patternFill>
    </fill>
    <fill>
      <patternFill patternType="solid">
        <fgColor rgb="FF76D1BD"/>
        <bgColor indexed="64"/>
      </patternFill>
    </fill>
    <fill>
      <patternFill patternType="solid">
        <fgColor rgb="FF00B08B"/>
        <bgColor indexed="64"/>
      </patternFill>
    </fill>
    <fill>
      <patternFill patternType="solid">
        <fgColor rgb="FF009460"/>
        <bgColor indexed="64"/>
      </patternFill>
    </fill>
    <fill>
      <patternFill patternType="solid">
        <fgColor rgb="FF007856"/>
        <bgColor indexed="64"/>
      </patternFill>
    </fill>
    <fill>
      <patternFill patternType="solid">
        <fgColor rgb="FF006A4E"/>
        <bgColor indexed="64"/>
      </patternFill>
    </fill>
    <fill>
      <patternFill patternType="solid">
        <fgColor rgb="FF00533E"/>
        <bgColor indexed="64"/>
      </patternFill>
    </fill>
    <fill>
      <patternFill patternType="solid">
        <fgColor rgb="FFA6DEC1"/>
        <bgColor indexed="64"/>
      </patternFill>
    </fill>
    <fill>
      <patternFill patternType="solid">
        <fgColor rgb="FF89D5AF"/>
        <bgColor indexed="64"/>
      </patternFill>
    </fill>
    <fill>
      <patternFill patternType="solid">
        <fgColor rgb="FF5EC998"/>
        <bgColor indexed="64"/>
      </patternFill>
    </fill>
    <fill>
      <patternFill patternType="solid">
        <fgColor rgb="FF009543"/>
        <bgColor indexed="64"/>
      </patternFill>
    </fill>
    <fill>
      <patternFill patternType="solid">
        <fgColor rgb="FF007E3A"/>
        <bgColor indexed="64"/>
      </patternFill>
    </fill>
    <fill>
      <patternFill patternType="solid">
        <fgColor rgb="FF006233"/>
        <bgColor indexed="64"/>
      </patternFill>
    </fill>
    <fill>
      <patternFill patternType="solid">
        <fgColor rgb="FF18472C"/>
        <bgColor indexed="64"/>
      </patternFill>
    </fill>
    <fill>
      <patternFill patternType="solid">
        <fgColor rgb="FFA7E6C4"/>
        <bgColor indexed="64"/>
      </patternFill>
    </fill>
    <fill>
      <patternFill patternType="solid">
        <fgColor rgb="FF87E0B0"/>
        <bgColor indexed="64"/>
      </patternFill>
    </fill>
    <fill>
      <patternFill patternType="solid">
        <fgColor rgb="FF6ADCA2"/>
        <bgColor indexed="64"/>
      </patternFill>
    </fill>
    <fill>
      <patternFill patternType="solid">
        <fgColor rgb="FF00AB39"/>
        <bgColor indexed="64"/>
      </patternFill>
    </fill>
    <fill>
      <patternFill patternType="solid">
        <fgColor rgb="FF009530"/>
        <bgColor indexed="64"/>
      </patternFill>
    </fill>
    <fill>
      <patternFill patternType="solid">
        <fgColor rgb="FF007229"/>
        <bgColor indexed="64"/>
      </patternFill>
    </fill>
    <fill>
      <patternFill patternType="solid">
        <fgColor rgb="FF0F4D2A"/>
        <bgColor indexed="64"/>
      </patternFill>
    </fill>
    <fill>
      <patternFill patternType="solid">
        <fgColor rgb="FFA5DB92"/>
        <bgColor indexed="64"/>
      </patternFill>
    </fill>
    <fill>
      <patternFill patternType="solid">
        <fgColor rgb="FF9FD98B"/>
        <bgColor indexed="64"/>
      </patternFill>
    </fill>
    <fill>
      <patternFill patternType="solid">
        <fgColor rgb="FF55BE47"/>
        <bgColor indexed="64"/>
      </patternFill>
    </fill>
    <fill>
      <patternFill patternType="solid">
        <fgColor rgb="FF12AD2B"/>
        <bgColor indexed="64"/>
      </patternFill>
    </fill>
    <fill>
      <patternFill patternType="solid">
        <fgColor rgb="FF2F8927"/>
        <bgColor indexed="64"/>
      </patternFill>
    </fill>
    <fill>
      <patternFill patternType="solid">
        <fgColor rgb="FF317023"/>
        <bgColor indexed="64"/>
      </patternFill>
    </fill>
    <fill>
      <patternFill patternType="solid">
        <fgColor rgb="FFCCE5A2"/>
        <bgColor indexed="64"/>
      </patternFill>
    </fill>
    <fill>
      <patternFill patternType="solid">
        <fgColor rgb="FFBCE18D"/>
        <bgColor indexed="64"/>
      </patternFill>
    </fill>
    <fill>
      <patternFill patternType="solid">
        <fgColor rgb="FFA4D867"/>
        <bgColor indexed="64"/>
      </patternFill>
    </fill>
    <fill>
      <patternFill patternType="solid">
        <fgColor rgb="FF62BD19"/>
        <bgColor indexed="64"/>
      </patternFill>
    </fill>
    <fill>
      <patternFill patternType="solid">
        <fgColor rgb="FF4FA600"/>
        <bgColor indexed="64"/>
      </patternFill>
    </fill>
    <fill>
      <patternFill patternType="solid">
        <fgColor rgb="FF4F8A10"/>
        <bgColor indexed="64"/>
      </patternFill>
    </fill>
    <fill>
      <patternFill patternType="solid">
        <fgColor rgb="FF4A601C"/>
        <bgColor indexed="64"/>
      </patternFill>
    </fill>
    <fill>
      <patternFill patternType="solid">
        <fgColor rgb="FFD7E9A1"/>
        <bgColor indexed="64"/>
      </patternFill>
    </fill>
    <fill>
      <patternFill patternType="solid">
        <fgColor rgb="FFCDE985"/>
        <bgColor indexed="64"/>
      </patternFill>
    </fill>
    <fill>
      <patternFill patternType="solid">
        <fgColor rgb="FFBAE55F"/>
        <bgColor indexed="64"/>
      </patternFill>
    </fill>
    <fill>
      <patternFill patternType="solid">
        <fgColor rgb="FF87D300"/>
        <bgColor indexed="64"/>
      </patternFill>
    </fill>
    <fill>
      <patternFill patternType="solid">
        <fgColor rgb="FF76B900"/>
        <bgColor indexed="64"/>
      </patternFill>
    </fill>
    <fill>
      <patternFill patternType="solid">
        <fgColor rgb="FF679000"/>
        <bgColor indexed="64"/>
      </patternFill>
    </fill>
    <fill>
      <patternFill patternType="solid">
        <fgColor rgb="FF4D5A12"/>
        <bgColor indexed="64"/>
      </patternFill>
    </fill>
    <fill>
      <patternFill patternType="solid">
        <fgColor rgb="FFDDE56C"/>
        <bgColor indexed="64"/>
      </patternFill>
    </fill>
    <fill>
      <patternFill patternType="solid">
        <fgColor rgb="FFD3E13C"/>
        <bgColor indexed="64"/>
      </patternFill>
    </fill>
    <fill>
      <patternFill patternType="solid">
        <fgColor rgb="FFC8DB00"/>
        <bgColor indexed="64"/>
      </patternFill>
    </fill>
    <fill>
      <patternFill patternType="solid">
        <fgColor rgb="FFB9D300"/>
        <bgColor indexed="64"/>
      </patternFill>
    </fill>
    <fill>
      <patternFill patternType="solid">
        <fgColor rgb="FF9FAA00"/>
        <bgColor indexed="64"/>
      </patternFill>
    </fill>
    <fill>
      <patternFill patternType="solid">
        <fgColor rgb="FF8B9000"/>
        <bgColor indexed="64"/>
      </patternFill>
    </fill>
    <fill>
      <patternFill patternType="solid">
        <fgColor rgb="FF6E6A12"/>
        <bgColor indexed="64"/>
      </patternFill>
    </fill>
    <fill>
      <patternFill patternType="solid">
        <fgColor rgb="FFE5E96E"/>
        <bgColor indexed="64"/>
      </patternFill>
    </fill>
    <fill>
      <patternFill patternType="solid">
        <fgColor rgb="FFDEE63A"/>
        <bgColor indexed="64"/>
      </patternFill>
    </fill>
    <fill>
      <patternFill patternType="solid">
        <fgColor rgb="FFD7E300"/>
        <bgColor indexed="64"/>
      </patternFill>
    </fill>
    <fill>
      <patternFill patternType="solid">
        <fgColor rgb="FFC6DB00"/>
        <bgColor indexed="64"/>
      </patternFill>
    </fill>
    <fill>
      <patternFill patternType="solid">
        <fgColor rgb="FFB2BC00"/>
        <bgColor indexed="64"/>
      </patternFill>
    </fill>
    <fill>
      <patternFill patternType="solid">
        <fgColor rgb="FF959200"/>
        <bgColor indexed="64"/>
      </patternFill>
    </fill>
    <fill>
      <patternFill patternType="solid">
        <fgColor rgb="FF7F7800"/>
        <bgColor indexed="64"/>
      </patternFill>
    </fill>
    <fill>
      <patternFill patternType="solid">
        <fgColor rgb="FFEDEB8F"/>
        <bgColor indexed="64"/>
      </patternFill>
    </fill>
    <fill>
      <patternFill patternType="solid">
        <fgColor rgb="FFE9E73F"/>
        <bgColor indexed="64"/>
      </patternFill>
    </fill>
    <fill>
      <patternFill patternType="solid">
        <fgColor rgb="FFE4E400"/>
        <bgColor indexed="64"/>
      </patternFill>
    </fill>
    <fill>
      <patternFill patternType="solid">
        <fgColor rgb="FFDDDF00"/>
        <bgColor indexed="64"/>
      </patternFill>
    </fill>
    <fill>
      <patternFill patternType="solid">
        <fgColor rgb="FFBEB800"/>
        <bgColor indexed="64"/>
      </patternFill>
    </fill>
    <fill>
      <patternFill patternType="solid">
        <fgColor rgb="FFABA200"/>
        <bgColor indexed="64"/>
      </patternFill>
    </fill>
    <fill>
      <patternFill patternType="solid">
        <fgColor rgb="FF998D00"/>
        <bgColor indexed="64"/>
      </patternFill>
    </fill>
    <fill>
      <patternFill patternType="solid">
        <fgColor rgb="FFCDC9C4"/>
        <bgColor indexed="64"/>
      </patternFill>
    </fill>
    <fill>
      <patternFill patternType="solid">
        <fgColor rgb="FFBDB8B1"/>
        <bgColor indexed="64"/>
      </patternFill>
    </fill>
    <fill>
      <patternFill patternType="solid">
        <fgColor rgb="FFADA59D"/>
        <bgColor indexed="64"/>
      </patternFill>
    </fill>
    <fill>
      <patternFill patternType="solid">
        <fgColor rgb="FF7C7369"/>
        <bgColor indexed="64"/>
      </patternFill>
    </fill>
    <fill>
      <patternFill patternType="solid">
        <fgColor rgb="FF645A50"/>
        <bgColor indexed="64"/>
      </patternFill>
    </fill>
    <fill>
      <patternFill patternType="solid">
        <fgColor rgb="FF3D332B"/>
        <bgColor indexed="64"/>
      </patternFill>
    </fill>
    <fill>
      <patternFill patternType="solid">
        <fgColor rgb="FFCAC4C2"/>
        <bgColor indexed="64"/>
      </patternFill>
    </fill>
    <fill>
      <patternFill patternType="solid">
        <fgColor rgb="FFB5ACA6"/>
        <bgColor indexed="64"/>
      </patternFill>
    </fill>
    <fill>
      <patternFill patternType="solid">
        <fgColor rgb="FFA59997"/>
        <bgColor indexed="64"/>
      </patternFill>
    </fill>
    <fill>
      <patternFill patternType="solid">
        <fgColor rgb="FF948683"/>
        <bgColor indexed="64"/>
      </patternFill>
    </fill>
    <fill>
      <patternFill patternType="solid">
        <fgColor rgb="FF7B6E6A"/>
        <bgColor indexed="64"/>
      </patternFill>
    </fill>
    <fill>
      <patternFill patternType="solid">
        <fgColor rgb="FF62524E"/>
        <bgColor indexed="64"/>
      </patternFill>
    </fill>
    <fill>
      <patternFill patternType="solid">
        <fgColor rgb="FF372B27"/>
        <bgColor indexed="64"/>
      </patternFill>
    </fill>
    <fill>
      <patternFill patternType="solid">
        <fgColor rgb="FFC8C9C3"/>
        <bgColor indexed="64"/>
      </patternFill>
    </fill>
    <fill>
      <patternFill patternType="solid">
        <fgColor rgb="FFB5B6B0"/>
        <bgColor indexed="64"/>
      </patternFill>
    </fill>
    <fill>
      <patternFill patternType="solid">
        <fgColor rgb="FF9D9D96"/>
        <bgColor indexed="64"/>
      </patternFill>
    </fill>
    <fill>
      <patternFill patternType="solid">
        <fgColor rgb="FF87887F"/>
        <bgColor indexed="64"/>
      </patternFill>
    </fill>
    <fill>
      <patternFill patternType="solid">
        <fgColor rgb="FF6E6F64"/>
        <bgColor indexed="64"/>
      </patternFill>
    </fill>
    <fill>
      <patternFill patternType="solid">
        <fgColor rgb="FF5A5B51"/>
        <bgColor indexed="64"/>
      </patternFill>
    </fill>
    <fill>
      <patternFill patternType="solid">
        <fgColor rgb="FF1F211C"/>
        <bgColor indexed="64"/>
      </patternFill>
    </fill>
    <fill>
      <patternFill patternType="solid">
        <fgColor rgb="FFBABBBC"/>
        <bgColor indexed="64"/>
      </patternFill>
    </fill>
    <fill>
      <patternFill patternType="solid">
        <fgColor rgb="FFA9AAAB"/>
        <bgColor indexed="64"/>
      </patternFill>
    </fill>
    <fill>
      <patternFill patternType="solid">
        <fgColor rgb="FF939495"/>
        <bgColor indexed="64"/>
      </patternFill>
    </fill>
    <fill>
      <patternFill patternType="solid">
        <fgColor rgb="FF767A7D"/>
        <bgColor indexed="64"/>
      </patternFill>
    </fill>
    <fill>
      <patternFill patternType="solid">
        <fgColor rgb="FF56595C"/>
        <bgColor indexed="64"/>
      </patternFill>
    </fill>
    <fill>
      <patternFill patternType="solid">
        <fgColor rgb="FF212424"/>
        <bgColor indexed="64"/>
      </patternFill>
    </fill>
    <fill>
      <patternFill patternType="solid">
        <fgColor rgb="FFD2D6D9"/>
        <bgColor indexed="64"/>
      </patternFill>
    </fill>
    <fill>
      <patternFill patternType="solid">
        <fgColor rgb="FFC3C8CD"/>
        <bgColor indexed="64"/>
      </patternFill>
    </fill>
    <fill>
      <patternFill patternType="solid">
        <fgColor rgb="FFA8ADB4"/>
        <bgColor indexed="64"/>
      </patternFill>
    </fill>
    <fill>
      <patternFill patternType="solid">
        <fgColor rgb="FF616A74"/>
        <bgColor indexed="64"/>
      </patternFill>
    </fill>
    <fill>
      <patternFill patternType="solid">
        <fgColor rgb="FF414B56"/>
        <bgColor indexed="64"/>
      </patternFill>
    </fill>
    <fill>
      <patternFill patternType="solid">
        <fgColor rgb="FF212930"/>
        <bgColor indexed="64"/>
      </patternFill>
    </fill>
    <fill>
      <patternFill patternType="solid">
        <fgColor rgb="FFD3C9CE"/>
        <bgColor indexed="64"/>
      </patternFill>
    </fill>
    <fill>
      <patternFill patternType="solid">
        <fgColor rgb="FFC8BAC0"/>
        <bgColor indexed="64"/>
      </patternFill>
    </fill>
    <fill>
      <patternFill patternType="solid">
        <fgColor rgb="FFB7A6AD"/>
        <bgColor indexed="64"/>
      </patternFill>
    </fill>
    <fill>
      <patternFill patternType="solid">
        <fgColor rgb="FF846E74"/>
        <bgColor indexed="64"/>
      </patternFill>
    </fill>
    <fill>
      <patternFill patternType="solid">
        <fgColor rgb="FF513E3E"/>
        <bgColor indexed="64"/>
      </patternFill>
    </fill>
    <fill>
      <patternFill patternType="solid">
        <fgColor rgb="FF443535"/>
        <bgColor indexed="64"/>
      </patternFill>
    </fill>
    <fill>
      <patternFill patternType="solid">
        <fgColor rgb="FF392E2C"/>
        <bgColor indexed="64"/>
      </patternFill>
    </fill>
    <fill>
      <patternFill patternType="solid">
        <fgColor rgb="FFCBD1D4"/>
        <bgColor indexed="64"/>
      </patternFill>
    </fill>
    <fill>
      <patternFill patternType="solid">
        <fgColor rgb="FFB3BCC0"/>
        <bgColor indexed="64"/>
      </patternFill>
    </fill>
    <fill>
      <patternFill patternType="solid">
        <fgColor rgb="FF99A3A6"/>
        <bgColor indexed="64"/>
      </patternFill>
    </fill>
    <fill>
      <patternFill patternType="solid">
        <fgColor rgb="FF7B858A"/>
        <bgColor indexed="64"/>
      </patternFill>
    </fill>
    <fill>
      <patternFill patternType="solid">
        <fgColor rgb="FF4F5559"/>
        <bgColor indexed="64"/>
      </patternFill>
    </fill>
    <fill>
      <patternFill patternType="solid">
        <fgColor rgb="FF3D4242"/>
        <bgColor indexed="64"/>
      </patternFill>
    </fill>
    <fill>
      <patternFill patternType="solid">
        <fgColor rgb="FF473E26"/>
        <bgColor indexed="64"/>
      </patternFill>
    </fill>
    <fill>
      <patternFill patternType="solid">
        <fgColor rgb="FF4D4325"/>
        <bgColor indexed="64"/>
      </patternFill>
    </fill>
    <fill>
      <patternFill patternType="solid">
        <fgColor rgb="FF514826"/>
        <bgColor indexed="64"/>
      </patternFill>
    </fill>
    <fill>
      <patternFill patternType="solid">
        <fgColor rgb="FF9F9B74"/>
        <bgColor indexed="64"/>
      </patternFill>
    </fill>
    <fill>
      <patternFill patternType="solid">
        <fgColor rgb="FFB5B292"/>
        <bgColor indexed="64"/>
      </patternFill>
    </fill>
    <fill>
      <patternFill patternType="solid">
        <fgColor rgb="FFC8C5AC"/>
        <bgColor indexed="64"/>
      </patternFill>
    </fill>
    <fill>
      <patternFill patternType="solid">
        <fgColor rgb="FFD5D3BF"/>
        <bgColor indexed="64"/>
      </patternFill>
    </fill>
    <fill>
      <patternFill patternType="solid">
        <fgColor rgb="FF655415"/>
        <bgColor indexed="64"/>
      </patternFill>
    </fill>
    <fill>
      <patternFill patternType="solid">
        <fgColor rgb="FF977F09"/>
        <bgColor indexed="64"/>
      </patternFill>
    </fill>
    <fill>
      <patternFill patternType="solid">
        <fgColor rgb="FFB29200"/>
        <bgColor indexed="64"/>
      </patternFill>
    </fill>
    <fill>
      <patternFill patternType="solid">
        <fgColor rgb="FFDBCA67"/>
        <bgColor indexed="64"/>
      </patternFill>
    </fill>
    <fill>
      <patternFill patternType="solid">
        <fgColor rgb="FFDFD27C"/>
        <bgColor indexed="64"/>
      </patternFill>
    </fill>
    <fill>
      <patternFill patternType="solid">
        <fgColor rgb="FFE5DB97"/>
        <bgColor indexed="64"/>
      </patternFill>
    </fill>
    <fill>
      <patternFill patternType="solid">
        <fgColor rgb="FFE7E3B5"/>
        <bgColor indexed="64"/>
      </patternFill>
    </fill>
    <fill>
      <patternFill patternType="solid">
        <fgColor rgb="FF563F23"/>
        <bgColor indexed="64"/>
      </patternFill>
    </fill>
    <fill>
      <patternFill patternType="solid">
        <fgColor rgb="FF6D4921"/>
        <bgColor indexed="64"/>
      </patternFill>
    </fill>
    <fill>
      <patternFill patternType="solid">
        <fgColor rgb="FF855723"/>
        <bgColor indexed="64"/>
      </patternFill>
    </fill>
    <fill>
      <patternFill patternType="solid">
        <fgColor rgb="FFB99C6B"/>
        <bgColor indexed="64"/>
      </patternFill>
    </fill>
    <fill>
      <patternFill patternType="solid">
        <fgColor rgb="FFCAB388"/>
        <bgColor indexed="64"/>
      </patternFill>
    </fill>
    <fill>
      <patternFill patternType="solid">
        <fgColor rgb="FFD5C4A1"/>
        <bgColor indexed="64"/>
      </patternFill>
    </fill>
    <fill>
      <patternFill patternType="solid">
        <fgColor rgb="FFE0D4BB"/>
        <bgColor indexed="64"/>
      </patternFill>
    </fill>
    <fill>
      <patternFill patternType="solid">
        <fgColor rgb="FF613418"/>
        <bgColor indexed="64"/>
      </patternFill>
    </fill>
    <fill>
      <patternFill patternType="solid">
        <fgColor rgb="FF9B4D1B"/>
        <bgColor indexed="64"/>
      </patternFill>
    </fill>
    <fill>
      <patternFill patternType="solid">
        <fgColor rgb="FFB75312"/>
        <bgColor indexed="64"/>
      </patternFill>
    </fill>
    <fill>
      <patternFill patternType="solid">
        <fgColor rgb="FFE49969"/>
        <bgColor indexed="64"/>
      </patternFill>
    </fill>
    <fill>
      <patternFill patternType="solid">
        <fgColor rgb="FFEDB996"/>
        <bgColor indexed="64"/>
      </patternFill>
    </fill>
    <fill>
      <patternFill patternType="solid">
        <fgColor rgb="FFEEC5A9"/>
        <bgColor indexed="64"/>
      </patternFill>
    </fill>
    <fill>
      <patternFill patternType="solid">
        <fgColor rgb="FFF0D0BB"/>
        <bgColor indexed="64"/>
      </patternFill>
    </fill>
    <fill>
      <patternFill patternType="solid">
        <fgColor rgb="FF513127"/>
        <bgColor indexed="64"/>
      </patternFill>
    </fill>
    <fill>
      <patternFill patternType="solid">
        <fgColor rgb="FF5E2F24"/>
        <bgColor indexed="64"/>
      </patternFill>
    </fill>
    <fill>
      <patternFill patternType="solid">
        <fgColor rgb="FF723629"/>
        <bgColor indexed="64"/>
      </patternFill>
    </fill>
    <fill>
      <patternFill patternType="solid">
        <fgColor rgb="FFAD806C"/>
        <bgColor indexed="64"/>
      </patternFill>
    </fill>
    <fill>
      <patternFill patternType="solid">
        <fgColor rgb="FFC8A99A"/>
        <bgColor indexed="64"/>
      </patternFill>
    </fill>
    <fill>
      <patternFill patternType="solid">
        <fgColor rgb="FFD5BDB0"/>
        <bgColor indexed="64"/>
      </patternFill>
    </fill>
    <fill>
      <patternFill patternType="solid">
        <fgColor rgb="FFDDCEC4"/>
        <bgColor indexed="64"/>
      </patternFill>
    </fill>
    <fill>
      <patternFill patternType="solid">
        <fgColor rgb="FF6A2E22"/>
        <bgColor indexed="64"/>
      </patternFill>
    </fill>
    <fill>
      <patternFill patternType="solid">
        <fgColor rgb="FF9F2D20"/>
        <bgColor indexed="64"/>
      </patternFill>
    </fill>
    <fill>
      <patternFill patternType="solid">
        <fgColor rgb="FFDC241F"/>
        <bgColor indexed="64"/>
      </patternFill>
    </fill>
    <fill>
      <patternFill patternType="solid">
        <fgColor rgb="FFEC9384"/>
        <bgColor indexed="64"/>
      </patternFill>
    </fill>
    <fill>
      <patternFill patternType="solid">
        <fgColor rgb="FFECAB9D"/>
        <bgColor indexed="64"/>
      </patternFill>
    </fill>
    <fill>
      <patternFill patternType="solid">
        <fgColor rgb="FFECBBAF"/>
        <bgColor indexed="64"/>
      </patternFill>
    </fill>
    <fill>
      <patternFill patternType="solid">
        <fgColor rgb="FFEBCDC3"/>
        <bgColor indexed="64"/>
      </patternFill>
    </fill>
    <fill>
      <patternFill patternType="solid">
        <fgColor rgb="FF5A272A"/>
        <bgColor indexed="64"/>
      </patternFill>
    </fill>
    <fill>
      <patternFill patternType="solid">
        <fgColor rgb="FF772B2F"/>
        <bgColor indexed="64"/>
      </patternFill>
    </fill>
    <fill>
      <patternFill patternType="solid">
        <fgColor rgb="FF91353B"/>
        <bgColor indexed="64"/>
      </patternFill>
    </fill>
    <fill>
      <patternFill patternType="solid">
        <fgColor rgb="FFD78396"/>
        <bgColor indexed="64"/>
      </patternFill>
    </fill>
    <fill>
      <patternFill patternType="solid">
        <fgColor rgb="FFE7A7B6"/>
        <bgColor indexed="64"/>
      </patternFill>
    </fill>
    <fill>
      <patternFill patternType="solid">
        <fgColor rgb="FFEDB8C5"/>
        <bgColor indexed="64"/>
      </patternFill>
    </fill>
    <fill>
      <patternFill patternType="solid">
        <fgColor rgb="FFEFC4CE"/>
        <bgColor indexed="64"/>
      </patternFill>
    </fill>
    <fill>
      <patternFill patternType="solid">
        <fgColor rgb="FF4E2A28"/>
        <bgColor indexed="64"/>
      </patternFill>
    </fill>
    <fill>
      <patternFill patternType="solid">
        <fgColor rgb="FF68322E"/>
        <bgColor indexed="64"/>
      </patternFill>
    </fill>
    <fill>
      <patternFill patternType="solid">
        <fgColor rgb="FF763931"/>
        <bgColor indexed="64"/>
      </patternFill>
    </fill>
    <fill>
      <patternFill patternType="solid">
        <fgColor rgb="FFC88691"/>
        <bgColor indexed="64"/>
      </patternFill>
    </fill>
    <fill>
      <patternFill patternType="solid">
        <fgColor rgb="FFDEACB7"/>
        <bgColor indexed="64"/>
      </patternFill>
    </fill>
    <fill>
      <patternFill patternType="solid">
        <fgColor rgb="FFE5BFC7"/>
        <bgColor indexed="64"/>
      </patternFill>
    </fill>
    <fill>
      <patternFill patternType="solid">
        <fgColor rgb="FFE9CCD2"/>
        <bgColor indexed="64"/>
      </patternFill>
    </fill>
    <fill>
      <patternFill patternType="solid">
        <fgColor rgb="FF4E2029"/>
        <bgColor indexed="64"/>
      </patternFill>
    </fill>
    <fill>
      <patternFill patternType="solid">
        <fgColor rgb="FF6E2639"/>
        <bgColor indexed="64"/>
      </patternFill>
    </fill>
    <fill>
      <patternFill patternType="solid">
        <fgColor rgb="FF7E2B42"/>
        <bgColor indexed="64"/>
      </patternFill>
    </fill>
    <fill>
      <patternFill patternType="solid">
        <fgColor rgb="FFD38DA6"/>
        <bgColor indexed="64"/>
      </patternFill>
    </fill>
    <fill>
      <patternFill patternType="solid">
        <fgColor rgb="FFE2ABBF"/>
        <bgColor indexed="64"/>
      </patternFill>
    </fill>
    <fill>
      <patternFill patternType="solid">
        <fgColor rgb="FFE7B9CA"/>
        <bgColor indexed="64"/>
      </patternFill>
    </fill>
    <fill>
      <patternFill patternType="solid">
        <fgColor rgb="FFE9C2D1"/>
        <bgColor indexed="64"/>
      </patternFill>
    </fill>
    <fill>
      <patternFill patternType="solid">
        <fgColor rgb="FF60244E"/>
        <bgColor indexed="64"/>
      </patternFill>
    </fill>
    <fill>
      <patternFill patternType="solid">
        <fgColor rgb="FF7E2271"/>
        <bgColor indexed="64"/>
      </patternFill>
    </fill>
    <fill>
      <patternFill patternType="solid">
        <fgColor rgb="FF95288F"/>
        <bgColor indexed="64"/>
      </patternFill>
    </fill>
    <fill>
      <patternFill patternType="solid">
        <fgColor rgb="FFD385C8"/>
        <bgColor indexed="64"/>
      </patternFill>
    </fill>
    <fill>
      <patternFill patternType="solid">
        <fgColor rgb="FFDFA5D6"/>
        <bgColor indexed="64"/>
      </patternFill>
    </fill>
    <fill>
      <patternFill patternType="solid">
        <fgColor rgb="FFE7BADF"/>
        <bgColor indexed="64"/>
      </patternFill>
    </fill>
    <fill>
      <patternFill patternType="solid">
        <fgColor rgb="FFEBCAE3"/>
        <bgColor indexed="64"/>
      </patternFill>
    </fill>
    <fill>
      <patternFill patternType="solid">
        <fgColor rgb="FF4B2A46"/>
        <bgColor indexed="64"/>
      </patternFill>
    </fill>
    <fill>
      <patternFill patternType="solid">
        <fgColor rgb="FF5A2D5F"/>
        <bgColor indexed="64"/>
      </patternFill>
    </fill>
    <fill>
      <patternFill patternType="solid">
        <fgColor rgb="FF682F73"/>
        <bgColor indexed="64"/>
      </patternFill>
    </fill>
    <fill>
      <patternFill patternType="solid">
        <fgColor rgb="FFAD85BA"/>
        <bgColor indexed="64"/>
      </patternFill>
    </fill>
    <fill>
      <patternFill patternType="solid">
        <fgColor rgb="FFBD9ECA"/>
        <bgColor indexed="64"/>
      </patternFill>
    </fill>
    <fill>
      <patternFill patternType="solid">
        <fgColor rgb="FFCBB2D5"/>
        <bgColor indexed="64"/>
      </patternFill>
    </fill>
    <fill>
      <patternFill patternType="solid">
        <fgColor rgb="FFDACCE1"/>
        <bgColor indexed="64"/>
      </patternFill>
    </fill>
    <fill>
      <patternFill patternType="solid">
        <fgColor rgb="FF51265A"/>
        <bgColor indexed="64"/>
      </patternFill>
    </fill>
    <fill>
      <patternFill patternType="solid">
        <fgColor rgb="FF61207F"/>
        <bgColor indexed="64"/>
      </patternFill>
    </fill>
    <fill>
      <patternFill patternType="solid">
        <fgColor rgb="FF6E20A0"/>
        <bgColor indexed="64"/>
      </patternFill>
    </fill>
    <fill>
      <patternFill patternType="solid">
        <fgColor rgb="FFA774CD"/>
        <bgColor indexed="64"/>
      </patternFill>
    </fill>
    <fill>
      <patternFill patternType="solid">
        <fgColor rgb="FFC6A4E1"/>
        <bgColor indexed="64"/>
      </patternFill>
    </fill>
    <fill>
      <patternFill patternType="solid">
        <fgColor rgb="FFCFB1E3"/>
        <bgColor indexed="64"/>
      </patternFill>
    </fill>
    <fill>
      <patternFill patternType="solid">
        <fgColor rgb="FFD7C4E7"/>
        <bgColor indexed="64"/>
      </patternFill>
    </fill>
    <fill>
      <patternFill patternType="solid">
        <fgColor rgb="FF262A39"/>
        <bgColor indexed="64"/>
      </patternFill>
    </fill>
    <fill>
      <patternFill patternType="solid">
        <fgColor rgb="FF253355"/>
        <bgColor indexed="64"/>
      </patternFill>
    </fill>
    <fill>
      <patternFill patternType="solid">
        <fgColor rgb="FF293F6F"/>
        <bgColor indexed="64"/>
      </patternFill>
    </fill>
    <fill>
      <patternFill patternType="solid">
        <fgColor rgb="FF95A1C3"/>
        <bgColor indexed="64"/>
      </patternFill>
    </fill>
    <fill>
      <patternFill patternType="solid">
        <fgColor rgb="FFA4B1CD"/>
        <bgColor indexed="64"/>
      </patternFill>
    </fill>
    <fill>
      <patternFill patternType="solid">
        <fgColor rgb="FFBDC6DA"/>
        <bgColor indexed="64"/>
      </patternFill>
    </fill>
    <fill>
      <patternFill patternType="solid">
        <fgColor rgb="FFD2D7E4"/>
        <bgColor indexed="64"/>
      </patternFill>
    </fill>
    <fill>
      <patternFill patternType="solid">
        <fgColor rgb="FF002A46"/>
        <bgColor indexed="64"/>
      </patternFill>
    </fill>
    <fill>
      <patternFill patternType="solid">
        <fgColor rgb="FF002F5D"/>
        <bgColor indexed="64"/>
      </patternFill>
    </fill>
    <fill>
      <patternFill patternType="solid">
        <fgColor rgb="FF003C79"/>
        <bgColor indexed="64"/>
      </patternFill>
    </fill>
    <fill>
      <patternFill patternType="solid">
        <fgColor rgb="FF5998C9"/>
        <bgColor indexed="64"/>
      </patternFill>
    </fill>
    <fill>
      <patternFill patternType="solid">
        <fgColor rgb="FF93B9DC"/>
        <bgColor indexed="64"/>
      </patternFill>
    </fill>
    <fill>
      <patternFill patternType="solid">
        <fgColor rgb="FFB1CBE5"/>
        <bgColor indexed="64"/>
      </patternFill>
    </fill>
    <fill>
      <patternFill patternType="solid">
        <fgColor rgb="FFBFD3E6"/>
        <bgColor indexed="64"/>
      </patternFill>
    </fill>
    <fill>
      <patternFill patternType="solid">
        <fgColor rgb="FF003440"/>
        <bgColor indexed="64"/>
      </patternFill>
    </fill>
    <fill>
      <patternFill patternType="solid">
        <fgColor rgb="FF003E51"/>
        <bgColor indexed="64"/>
      </patternFill>
    </fill>
    <fill>
      <patternFill patternType="solid">
        <fgColor rgb="FF004159"/>
        <bgColor indexed="64"/>
      </patternFill>
    </fill>
    <fill>
      <patternFill patternType="solid">
        <fgColor rgb="FF5B97B1"/>
        <bgColor indexed="64"/>
      </patternFill>
    </fill>
    <fill>
      <patternFill patternType="solid">
        <fgColor rgb="FF85B0C6"/>
        <bgColor indexed="64"/>
      </patternFill>
    </fill>
    <fill>
      <patternFill patternType="solid">
        <fgColor rgb="FF9FC1D3"/>
        <bgColor indexed="64"/>
      </patternFill>
    </fill>
    <fill>
      <patternFill patternType="solid">
        <fgColor rgb="FFB9D0DC"/>
        <bgColor indexed="64"/>
      </patternFill>
    </fill>
    <fill>
      <patternFill patternType="solid">
        <fgColor rgb="FF214232"/>
        <bgColor indexed="64"/>
      </patternFill>
    </fill>
    <fill>
      <patternFill patternType="solid">
        <fgColor rgb="FF24604A"/>
        <bgColor indexed="64"/>
      </patternFill>
    </fill>
    <fill>
      <patternFill patternType="solid">
        <fgColor rgb="FF13694E"/>
        <bgColor indexed="64"/>
      </patternFill>
    </fill>
    <fill>
      <patternFill patternType="solid">
        <fgColor rgb="FF74A18E"/>
        <bgColor indexed="64"/>
      </patternFill>
    </fill>
    <fill>
      <patternFill patternType="solid">
        <fgColor rgb="FF98BAAC"/>
        <bgColor indexed="64"/>
      </patternFill>
    </fill>
    <fill>
      <patternFill patternType="solid">
        <fgColor rgb="FFACC7BD"/>
        <bgColor indexed="64"/>
      </patternFill>
    </fill>
    <fill>
      <patternFill patternType="solid">
        <fgColor rgb="FFC0D4CD"/>
        <bgColor indexed="64"/>
      </patternFill>
    </fill>
    <fill>
      <patternFill patternType="solid">
        <fgColor rgb="FF22483F"/>
        <bgColor indexed="64"/>
      </patternFill>
    </fill>
    <fill>
      <patternFill patternType="solid">
        <fgColor rgb="FF0F6259"/>
        <bgColor indexed="64"/>
      </patternFill>
    </fill>
    <fill>
      <patternFill patternType="solid">
        <fgColor rgb="FF007770"/>
        <bgColor indexed="64"/>
      </patternFill>
    </fill>
    <fill>
      <patternFill patternType="solid">
        <fgColor rgb="FF72B8B4"/>
        <bgColor indexed="64"/>
      </patternFill>
    </fill>
    <fill>
      <patternFill patternType="solid">
        <fgColor rgb="FF98CCC9"/>
        <bgColor indexed="64"/>
      </patternFill>
    </fill>
    <fill>
      <patternFill patternType="solid">
        <fgColor rgb="FFB9DCDA"/>
        <bgColor indexed="64"/>
      </patternFill>
    </fill>
    <fill>
      <patternFill patternType="solid">
        <fgColor rgb="FFCDE3E2"/>
        <bgColor indexed="64"/>
      </patternFill>
    </fill>
    <fill>
      <patternFill patternType="solid">
        <fgColor rgb="FF18453B"/>
        <bgColor indexed="64"/>
      </patternFill>
    </fill>
    <fill>
      <patternFill patternType="solid">
        <fgColor rgb="FF008478"/>
        <bgColor indexed="64"/>
      </patternFill>
    </fill>
    <fill>
      <patternFill patternType="solid">
        <fgColor rgb="FF76C6BE"/>
        <bgColor indexed="64"/>
      </patternFill>
    </fill>
    <fill>
      <patternFill patternType="solid">
        <fgColor rgb="FF9DD6CF"/>
        <bgColor indexed="64"/>
      </patternFill>
    </fill>
    <fill>
      <patternFill patternType="solid">
        <fgColor rgb="FFB4DEDB"/>
        <bgColor indexed="64"/>
      </patternFill>
    </fill>
    <fill>
      <patternFill patternType="solid">
        <fgColor rgb="FFC1E2DE"/>
        <bgColor indexed="64"/>
      </patternFill>
    </fill>
    <fill>
      <patternFill patternType="solid">
        <fgColor rgb="FF404F24"/>
        <bgColor indexed="64"/>
      </patternFill>
    </fill>
    <fill>
      <patternFill patternType="solid">
        <fgColor rgb="FF56732E"/>
        <bgColor indexed="64"/>
      </patternFill>
    </fill>
    <fill>
      <patternFill patternType="solid">
        <fgColor rgb="FF668E3C"/>
        <bgColor indexed="64"/>
      </patternFill>
    </fill>
    <fill>
      <patternFill patternType="solid">
        <fgColor rgb="FFB2C891"/>
        <bgColor indexed="64"/>
      </patternFill>
    </fill>
    <fill>
      <patternFill patternType="solid">
        <fgColor rgb="FFBDD0A0"/>
        <bgColor indexed="64"/>
      </patternFill>
    </fill>
    <fill>
      <patternFill patternType="solid">
        <fgColor rgb="FFC5D5A9"/>
        <bgColor indexed="64"/>
      </patternFill>
    </fill>
    <fill>
      <patternFill patternType="solid">
        <fgColor rgb="FFCFDDBB"/>
        <bgColor indexed="64"/>
      </patternFill>
    </fill>
    <fill>
      <patternFill patternType="solid">
        <fgColor rgb="FF605A12"/>
        <bgColor indexed="64"/>
      </patternFill>
    </fill>
    <fill>
      <patternFill patternType="solid">
        <fgColor rgb="FF888600"/>
        <bgColor indexed="64"/>
      </patternFill>
    </fill>
    <fill>
      <patternFill patternType="solid">
        <fgColor rgb="FFABB400"/>
        <bgColor indexed="64"/>
      </patternFill>
    </fill>
    <fill>
      <patternFill patternType="solid">
        <fgColor rgb="FFCBD34C"/>
        <bgColor indexed="64"/>
      </patternFill>
    </fill>
    <fill>
      <patternFill patternType="solid">
        <fgColor rgb="FFD8DB6F"/>
        <bgColor indexed="64"/>
      </patternFill>
    </fill>
    <fill>
      <patternFill patternType="solid">
        <fgColor rgb="FFDDE18A"/>
        <bgColor indexed="64"/>
      </patternFill>
    </fill>
    <fill>
      <patternFill patternType="solid">
        <fgColor rgb="FFE2E59F"/>
        <bgColor indexed="64"/>
      </patternFill>
    </fill>
    <fill>
      <patternFill patternType="solid">
        <fgColor rgb="FFEEEBB6"/>
        <bgColor indexed="64"/>
      </patternFill>
    </fill>
    <fill>
      <patternFill patternType="solid">
        <fgColor rgb="FFEEEAA5"/>
        <bgColor indexed="64"/>
      </patternFill>
    </fill>
    <fill>
      <patternFill patternType="solid">
        <fgColor rgb="FFEEE88D"/>
        <bgColor indexed="64"/>
      </patternFill>
    </fill>
    <fill>
      <patternFill patternType="solid">
        <fgColor rgb="FFEDE25E"/>
        <bgColor indexed="64"/>
      </patternFill>
    </fill>
    <fill>
      <patternFill patternType="solid">
        <fgColor rgb="FFEADB1B"/>
        <bgColor indexed="64"/>
      </patternFill>
    </fill>
    <fill>
      <patternFill patternType="solid">
        <fgColor rgb="FFE0CA00"/>
        <bgColor indexed="64"/>
      </patternFill>
    </fill>
    <fill>
      <patternFill patternType="solid">
        <fgColor rgb="FFD8BD00"/>
        <bgColor indexed="64"/>
      </patternFill>
    </fill>
    <fill>
      <patternFill patternType="solid">
        <fgColor rgb="FFEBE9C3"/>
        <bgColor indexed="64"/>
      </patternFill>
    </fill>
    <fill>
      <patternFill patternType="solid">
        <fgColor rgb="FFE9E6B4"/>
        <bgColor indexed="64"/>
      </patternFill>
    </fill>
    <fill>
      <patternFill patternType="solid">
        <fgColor rgb="FFE7E29A"/>
        <bgColor indexed="64"/>
      </patternFill>
    </fill>
    <fill>
      <patternFill patternType="solid">
        <fgColor rgb="FFE2D973"/>
        <bgColor indexed="64"/>
      </patternFill>
    </fill>
    <fill>
      <patternFill patternType="solid">
        <fgColor rgb="FFD8CC46"/>
        <bgColor indexed="64"/>
      </patternFill>
    </fill>
    <fill>
      <patternFill patternType="solid">
        <fgColor rgb="FFC4B300"/>
        <bgColor indexed="64"/>
      </patternFill>
    </fill>
    <fill>
      <patternFill patternType="solid">
        <fgColor rgb="FFB39D00"/>
        <bgColor indexed="64"/>
      </patternFill>
    </fill>
    <fill>
      <patternFill patternType="solid">
        <fgColor rgb="FFE3E1C1"/>
        <bgColor indexed="64"/>
      </patternFill>
    </fill>
    <fill>
      <patternFill patternType="solid">
        <fgColor rgb="FFDDDBB1"/>
        <bgColor indexed="64"/>
      </patternFill>
    </fill>
    <fill>
      <patternFill patternType="solid">
        <fgColor rgb="FFD7D29D"/>
        <bgColor indexed="64"/>
      </patternFill>
    </fill>
    <fill>
      <patternFill patternType="solid">
        <fgColor rgb="FFC9C37F"/>
        <bgColor indexed="64"/>
      </patternFill>
    </fill>
    <fill>
      <patternFill patternType="solid">
        <fgColor rgb="FFB4A851"/>
        <bgColor indexed="64"/>
      </patternFill>
    </fill>
    <fill>
      <patternFill patternType="solid">
        <fgColor rgb="FF9C8E2A"/>
        <bgColor indexed="64"/>
      </patternFill>
    </fill>
    <fill>
      <patternFill patternType="solid">
        <fgColor rgb="FF887811"/>
        <bgColor indexed="64"/>
      </patternFill>
    </fill>
    <fill>
      <patternFill patternType="solid">
        <fgColor rgb="FFD2DFDC"/>
        <bgColor indexed="64"/>
      </patternFill>
    </fill>
    <fill>
      <patternFill patternType="solid">
        <fgColor rgb="FFBDD2CC"/>
        <bgColor indexed="64"/>
      </patternFill>
    </fill>
    <fill>
      <patternFill patternType="solid">
        <fgColor rgb="FF9EBCB3"/>
        <bgColor indexed="64"/>
      </patternFill>
    </fill>
    <fill>
      <patternFill patternType="solid">
        <fgColor rgb="FF78A095"/>
        <bgColor indexed="64"/>
      </patternFill>
    </fill>
    <fill>
      <patternFill patternType="solid">
        <fgColor rgb="FF518274"/>
        <bgColor indexed="64"/>
      </patternFill>
    </fill>
    <fill>
      <patternFill patternType="solid">
        <fgColor rgb="FF1F5647"/>
        <bgColor indexed="64"/>
      </patternFill>
    </fill>
    <fill>
      <patternFill patternType="solid">
        <fgColor rgb="FF032D23"/>
        <bgColor indexed="64"/>
      </patternFill>
    </fill>
    <fill>
      <patternFill patternType="solid">
        <fgColor rgb="FFC8E2E8"/>
        <bgColor indexed="64"/>
      </patternFill>
    </fill>
    <fill>
      <patternFill patternType="solid">
        <fgColor rgb="FFAADAE5"/>
        <bgColor indexed="64"/>
      </patternFill>
    </fill>
    <fill>
      <patternFill patternType="solid">
        <fgColor rgb="FF82CBDD"/>
        <bgColor indexed="64"/>
      </patternFill>
    </fill>
    <fill>
      <patternFill patternType="solid">
        <fgColor rgb="FF48B8D2"/>
        <bgColor indexed="64"/>
      </patternFill>
    </fill>
    <fill>
      <patternFill patternType="solid">
        <fgColor rgb="FF009EC0"/>
        <bgColor indexed="64"/>
      </patternFill>
    </fill>
    <fill>
      <patternFill patternType="solid">
        <fgColor rgb="FF007CA4"/>
        <bgColor indexed="64"/>
      </patternFill>
    </fill>
    <fill>
      <patternFill patternType="solid">
        <fgColor rgb="FF00628C"/>
        <bgColor indexed="64"/>
      </patternFill>
    </fill>
    <fill>
      <patternFill patternType="solid">
        <fgColor rgb="FFADDDEB"/>
        <bgColor indexed="64"/>
      </patternFill>
    </fill>
    <fill>
      <patternFill patternType="solid">
        <fgColor rgb="FF8DD4E9"/>
        <bgColor indexed="64"/>
      </patternFill>
    </fill>
    <fill>
      <patternFill patternType="solid">
        <fgColor rgb="FF5BC8E7"/>
        <bgColor indexed="64"/>
      </patternFill>
    </fill>
    <fill>
      <patternFill patternType="solid">
        <fgColor rgb="FF00B2DE"/>
        <bgColor indexed="64"/>
      </patternFill>
    </fill>
    <fill>
      <patternFill patternType="solid">
        <fgColor rgb="FF009ACF"/>
        <bgColor indexed="64"/>
      </patternFill>
    </fill>
    <fill>
      <patternFill patternType="solid">
        <fgColor rgb="FF0085C2"/>
        <bgColor indexed="64"/>
      </patternFill>
    </fill>
    <fill>
      <patternFill patternType="solid">
        <fgColor rgb="FFCED9E7"/>
        <bgColor indexed="64"/>
      </patternFill>
    </fill>
    <fill>
      <patternFill patternType="solid">
        <fgColor rgb="FFC5D2E3"/>
        <bgColor indexed="64"/>
      </patternFill>
    </fill>
    <fill>
      <patternFill patternType="solid">
        <fgColor rgb="FF97B1D0"/>
        <bgColor indexed="64"/>
      </patternFill>
    </fill>
    <fill>
      <patternFill patternType="solid">
        <fgColor rgb="FF7498C0"/>
        <bgColor indexed="64"/>
      </patternFill>
    </fill>
    <fill>
      <patternFill patternType="solid">
        <fgColor rgb="FF5781AE"/>
        <bgColor indexed="64"/>
      </patternFill>
    </fill>
    <fill>
      <patternFill patternType="solid">
        <fgColor rgb="FF11568C"/>
        <bgColor indexed="64"/>
      </patternFill>
    </fill>
    <fill>
      <patternFill patternType="solid">
        <fgColor rgb="FF002B5F"/>
        <bgColor indexed="64"/>
      </patternFill>
    </fill>
    <fill>
      <patternFill patternType="solid">
        <fgColor rgb="FFD4DCE8"/>
        <bgColor indexed="64"/>
      </patternFill>
    </fill>
    <fill>
      <patternFill patternType="solid">
        <fgColor rgb="FFC2CDE0"/>
        <bgColor indexed="64"/>
      </patternFill>
    </fill>
    <fill>
      <patternFill patternType="solid">
        <fgColor rgb="FF99AECE"/>
        <bgColor indexed="64"/>
      </patternFill>
    </fill>
    <fill>
      <patternFill patternType="solid">
        <fgColor rgb="FF6F8DB9"/>
        <bgColor indexed="64"/>
      </patternFill>
    </fill>
    <fill>
      <patternFill patternType="solid">
        <fgColor rgb="FF2A568F"/>
        <bgColor indexed="64"/>
      </patternFill>
    </fill>
    <fill>
      <patternFill patternType="solid">
        <fgColor rgb="FF003066"/>
        <bgColor indexed="64"/>
      </patternFill>
    </fill>
    <fill>
      <patternFill patternType="solid">
        <fgColor rgb="FF002252"/>
        <bgColor indexed="64"/>
      </patternFill>
    </fill>
    <fill>
      <patternFill patternType="solid">
        <fgColor rgb="FFD4DDED"/>
        <bgColor indexed="64"/>
      </patternFill>
    </fill>
    <fill>
      <patternFill patternType="solid">
        <fgColor rgb="FFBFD0EA"/>
        <bgColor indexed="64"/>
      </patternFill>
    </fill>
    <fill>
      <patternFill patternType="solid">
        <fgColor rgb="FFA1BBE4"/>
        <bgColor indexed="64"/>
      </patternFill>
    </fill>
    <fill>
      <patternFill patternType="solid">
        <fgColor rgb="FF6E96D5"/>
        <bgColor indexed="64"/>
      </patternFill>
    </fill>
    <fill>
      <patternFill patternType="solid">
        <fgColor rgb="FF296DC1"/>
        <bgColor indexed="64"/>
      </patternFill>
    </fill>
    <fill>
      <patternFill patternType="solid">
        <fgColor rgb="FF003596"/>
        <bgColor indexed="64"/>
      </patternFill>
    </fill>
    <fill>
      <patternFill patternType="solid">
        <fgColor rgb="FF002280"/>
        <bgColor indexed="64"/>
      </patternFill>
    </fill>
    <fill>
      <patternFill patternType="solid">
        <fgColor rgb="FFDED8E6"/>
        <bgColor indexed="64"/>
      </patternFill>
    </fill>
    <fill>
      <patternFill patternType="solid">
        <fgColor rgb="FFD7D0E0"/>
        <bgColor indexed="64"/>
      </patternFill>
    </fill>
    <fill>
      <patternFill patternType="solid">
        <fgColor rgb="FFC5BBD3"/>
        <bgColor indexed="64"/>
      </patternFill>
    </fill>
    <fill>
      <patternFill patternType="solid">
        <fgColor rgb="FFA392B7"/>
        <bgColor indexed="64"/>
      </patternFill>
    </fill>
    <fill>
      <patternFill patternType="solid">
        <fgColor rgb="FF7C6495"/>
        <bgColor indexed="64"/>
      </patternFill>
    </fill>
    <fill>
      <patternFill patternType="solid">
        <fgColor rgb="FF624A7E"/>
        <bgColor indexed="64"/>
      </patternFill>
    </fill>
    <fill>
      <patternFill patternType="solid">
        <fgColor rgb="FF432C5F"/>
        <bgColor indexed="64"/>
      </patternFill>
    </fill>
    <fill>
      <patternFill patternType="solid">
        <fgColor rgb="FFEAD4E4"/>
        <bgColor indexed="64"/>
      </patternFill>
    </fill>
    <fill>
      <patternFill patternType="solid">
        <fgColor rgb="FFE6C1DB"/>
        <bgColor indexed="64"/>
      </patternFill>
    </fill>
    <fill>
      <patternFill patternType="solid">
        <fgColor rgb="FFE1A7CF"/>
        <bgColor indexed="64"/>
      </patternFill>
    </fill>
    <fill>
      <patternFill patternType="solid">
        <fgColor rgb="FFDA89BE"/>
        <bgColor indexed="64"/>
      </patternFill>
    </fill>
    <fill>
      <patternFill patternType="solid">
        <fgColor rgb="FFCE62A4"/>
        <bgColor indexed="64"/>
      </patternFill>
    </fill>
    <fill>
      <patternFill patternType="solid">
        <fgColor rgb="FFB62A79"/>
        <bgColor indexed="64"/>
      </patternFill>
    </fill>
    <fill>
      <patternFill patternType="solid">
        <fgColor rgb="FFA30059"/>
        <bgColor indexed="64"/>
      </patternFill>
    </fill>
    <fill>
      <patternFill patternType="solid">
        <fgColor rgb="FFE5D1DF"/>
        <bgColor indexed="64"/>
      </patternFill>
    </fill>
    <fill>
      <patternFill patternType="solid">
        <fgColor rgb="FFE2C9DA"/>
        <bgColor indexed="64"/>
      </patternFill>
    </fill>
    <fill>
      <patternFill patternType="solid">
        <fgColor rgb="FFDEBDD4"/>
        <bgColor indexed="64"/>
      </patternFill>
    </fill>
    <fill>
      <patternFill patternType="solid">
        <fgColor rgb="FFCB97B7"/>
        <bgColor indexed="64"/>
      </patternFill>
    </fill>
    <fill>
      <patternFill patternType="solid">
        <fgColor rgb="FFB8749E"/>
        <bgColor indexed="64"/>
      </patternFill>
    </fill>
    <fill>
      <patternFill patternType="solid">
        <fgColor rgb="FF9C4878"/>
        <bgColor indexed="64"/>
      </patternFill>
    </fill>
    <fill>
      <patternFill patternType="solid">
        <fgColor rgb="FF7C2250"/>
        <bgColor indexed="64"/>
      </patternFill>
    </fill>
    <fill>
      <patternFill patternType="solid">
        <fgColor rgb="FFE5CAD9"/>
        <bgColor indexed="64"/>
      </patternFill>
    </fill>
    <fill>
      <patternFill patternType="solid">
        <fgColor rgb="FFE1BCD0"/>
        <bgColor indexed="64"/>
      </patternFill>
    </fill>
    <fill>
      <patternFill patternType="solid">
        <fgColor rgb="FFDBAEC6"/>
        <bgColor indexed="64"/>
      </patternFill>
    </fill>
    <fill>
      <patternFill patternType="solid">
        <fgColor rgb="FFC686A9"/>
        <bgColor indexed="64"/>
      </patternFill>
    </fill>
    <fill>
      <patternFill patternType="solid">
        <fgColor rgb="FFB46B93"/>
        <bgColor indexed="64"/>
      </patternFill>
    </fill>
    <fill>
      <patternFill patternType="solid">
        <fgColor rgb="FF95416F"/>
        <bgColor indexed="64"/>
      </patternFill>
    </fill>
    <fill>
      <patternFill patternType="solid">
        <fgColor rgb="FF6D2348"/>
        <bgColor indexed="64"/>
      </patternFill>
    </fill>
    <fill>
      <patternFill patternType="solid">
        <fgColor rgb="FFE7CDD2"/>
        <bgColor indexed="64"/>
      </patternFill>
    </fill>
    <fill>
      <patternFill patternType="solid">
        <fgColor rgb="FFE2C1C8"/>
        <bgColor indexed="64"/>
      </patternFill>
    </fill>
    <fill>
      <patternFill patternType="solid">
        <fgColor rgb="FFD9A7B1"/>
        <bgColor indexed="64"/>
      </patternFill>
    </fill>
    <fill>
      <patternFill patternType="solid">
        <fgColor rgb="FFCA909C"/>
        <bgColor indexed="64"/>
      </patternFill>
    </fill>
    <fill>
      <patternFill patternType="solid">
        <fgColor rgb="FFB06876"/>
        <bgColor indexed="64"/>
      </patternFill>
    </fill>
    <fill>
      <patternFill patternType="solid">
        <fgColor rgb="FF944554"/>
        <bgColor indexed="64"/>
      </patternFill>
    </fill>
    <fill>
      <patternFill patternType="solid">
        <fgColor rgb="FF81333D"/>
        <bgColor indexed="64"/>
      </patternFill>
    </fill>
    <fill>
      <patternFill patternType="solid">
        <fgColor rgb="FFEDCFD7"/>
        <bgColor indexed="64"/>
      </patternFill>
    </fill>
    <fill>
      <patternFill patternType="solid">
        <fgColor rgb="FFF0C2CD"/>
        <bgColor indexed="64"/>
      </patternFill>
    </fill>
    <fill>
      <patternFill patternType="solid">
        <fgColor rgb="FFECA9B9"/>
        <bgColor indexed="64"/>
      </patternFill>
    </fill>
    <fill>
      <patternFill patternType="solid">
        <fgColor rgb="FFE58DA2"/>
        <bgColor indexed="64"/>
      </patternFill>
    </fill>
    <fill>
      <patternFill patternType="solid">
        <fgColor rgb="FFD5647C"/>
        <bgColor indexed="64"/>
      </patternFill>
    </fill>
    <fill>
      <patternFill patternType="solid">
        <fgColor rgb="FFBA394E"/>
        <bgColor indexed="64"/>
      </patternFill>
    </fill>
    <fill>
      <patternFill patternType="solid">
        <fgColor rgb="FFA22630"/>
        <bgColor indexed="64"/>
      </patternFill>
    </fill>
    <fill>
      <patternFill patternType="solid">
        <fgColor rgb="FFF2D6DE"/>
        <bgColor indexed="64"/>
      </patternFill>
    </fill>
    <fill>
      <patternFill patternType="solid">
        <fgColor rgb="FFF5C7D4"/>
        <bgColor indexed="64"/>
      </patternFill>
    </fill>
    <fill>
      <patternFill patternType="solid">
        <fgColor rgb="FFF5B0C1"/>
        <bgColor indexed="64"/>
      </patternFill>
    </fill>
    <fill>
      <patternFill patternType="solid">
        <fgColor rgb="FFF590A6"/>
        <bgColor indexed="64"/>
      </patternFill>
    </fill>
    <fill>
      <patternFill patternType="solid">
        <fgColor rgb="FFEF6782"/>
        <bgColor indexed="64"/>
      </patternFill>
    </fill>
    <fill>
      <patternFill patternType="solid">
        <fgColor rgb="FFE54661"/>
        <bgColor indexed="64"/>
      </patternFill>
    </fill>
    <fill>
      <patternFill patternType="solid">
        <fgColor rgb="FFD32939"/>
        <bgColor indexed="64"/>
      </patternFill>
    </fill>
    <fill>
      <patternFill patternType="solid">
        <fgColor rgb="FFFACDAE"/>
        <bgColor indexed="64"/>
      </patternFill>
    </fill>
    <fill>
      <patternFill patternType="solid">
        <fgColor rgb="FFFBC399"/>
        <bgColor indexed="64"/>
      </patternFill>
    </fill>
    <fill>
      <patternFill patternType="solid">
        <fgColor rgb="FFFDB179"/>
        <bgColor indexed="64"/>
      </patternFill>
    </fill>
    <fill>
      <patternFill patternType="solid">
        <fgColor rgb="FFF9964A"/>
        <bgColor indexed="64"/>
      </patternFill>
    </fill>
    <fill>
      <patternFill patternType="solid">
        <fgColor rgb="FFF17C0E"/>
        <bgColor indexed="64"/>
      </patternFill>
    </fill>
    <fill>
      <patternFill patternType="solid">
        <fgColor rgb="FFDE6100"/>
        <bgColor indexed="64"/>
      </patternFill>
    </fill>
    <fill>
      <patternFill patternType="solid">
        <fgColor rgb="FFCF5200"/>
        <bgColor indexed="64"/>
      </patternFill>
    </fill>
    <fill>
      <patternFill patternType="solid">
        <fgColor rgb="FFEFCFB8"/>
        <bgColor indexed="64"/>
      </patternFill>
    </fill>
    <fill>
      <patternFill patternType="solid">
        <fgColor rgb="FFECC3A5"/>
        <bgColor indexed="64"/>
      </patternFill>
    </fill>
    <fill>
      <patternFill patternType="solid">
        <fgColor rgb="FFE5AE86"/>
        <bgColor indexed="64"/>
      </patternFill>
    </fill>
    <fill>
      <patternFill patternType="solid">
        <fgColor rgb="FFD58F59"/>
        <bgColor indexed="64"/>
      </patternFill>
    </fill>
    <fill>
      <patternFill patternType="solid">
        <fgColor rgb="FFC0722F"/>
        <bgColor indexed="64"/>
      </patternFill>
    </fill>
    <fill>
      <patternFill patternType="solid">
        <fgColor rgb="FF9A4B00"/>
        <bgColor indexed="64"/>
      </patternFill>
    </fill>
    <fill>
      <patternFill patternType="solid">
        <fgColor rgb="FF843B00"/>
        <bgColor indexed="64"/>
      </patternFill>
    </fill>
    <fill>
      <patternFill patternType="solid">
        <fgColor rgb="FFE8CEBB"/>
        <bgColor indexed="64"/>
      </patternFill>
    </fill>
    <fill>
      <patternFill patternType="solid">
        <fgColor rgb="FFE1BEA4"/>
        <bgColor indexed="64"/>
      </patternFill>
    </fill>
    <fill>
      <patternFill patternType="solid">
        <fgColor rgb="FFD5AA88"/>
        <bgColor indexed="64"/>
      </patternFill>
    </fill>
    <fill>
      <patternFill patternType="solid">
        <fgColor rgb="FFC38E63"/>
        <bgColor indexed="64"/>
      </patternFill>
    </fill>
    <fill>
      <patternFill patternType="solid">
        <fgColor rgb="FFAC703D"/>
        <bgColor indexed="64"/>
      </patternFill>
    </fill>
    <fill>
      <patternFill patternType="solid">
        <fgColor rgb="FF793F0D"/>
        <bgColor indexed="64"/>
      </patternFill>
    </fill>
    <fill>
      <patternFill patternType="solid">
        <fgColor rgb="FF64300A"/>
        <bgColor indexed="64"/>
      </patternFill>
    </fill>
    <fill>
      <patternFill patternType="solid">
        <fgColor rgb="FF00A7D8"/>
        <bgColor indexed="64"/>
      </patternFill>
    </fill>
    <fill>
      <patternFill patternType="solid">
        <fgColor rgb="FF5BDD45"/>
        <bgColor indexed="64"/>
      </patternFill>
    </fill>
    <fill>
      <patternFill patternType="solid">
        <fgColor rgb="FFFFE805"/>
        <bgColor indexed="64"/>
      </patternFill>
    </fill>
    <fill>
      <patternFill patternType="solid">
        <fgColor rgb="FFFFA243"/>
        <bgColor indexed="64"/>
      </patternFill>
    </fill>
    <fill>
      <patternFill patternType="solid">
        <fgColor rgb="FFFF585E"/>
        <bgColor indexed="64"/>
      </patternFill>
    </fill>
    <fill>
      <patternFill patternType="solid">
        <fgColor rgb="FFFF1CAC"/>
        <bgColor indexed="64"/>
      </patternFill>
    </fill>
    <fill>
      <patternFill patternType="solid">
        <fgColor rgb="FFD708B2"/>
        <bgColor indexed="64"/>
      </patternFill>
    </fill>
    <fill>
      <patternFill patternType="solid">
        <fgColor rgb="FF00AE97"/>
        <bgColor indexed="64"/>
      </patternFill>
    </fill>
    <fill>
      <patternFill patternType="solid">
        <fgColor rgb="FFE1E400"/>
        <bgColor indexed="64"/>
      </patternFill>
    </fill>
    <fill>
      <patternFill patternType="solid">
        <fgColor rgb="FFFFCE09"/>
        <bgColor indexed="64"/>
      </patternFill>
    </fill>
    <fill>
      <patternFill patternType="solid">
        <fgColor rgb="FFFF7750"/>
        <bgColor indexed="64"/>
      </patternFill>
    </fill>
    <fill>
      <patternFill patternType="solid">
        <fgColor rgb="FFFF3485"/>
        <bgColor indexed="64"/>
      </patternFill>
    </fill>
    <fill>
      <patternFill patternType="solid">
        <fgColor rgb="FFEA12AF"/>
        <bgColor indexed="64"/>
      </patternFill>
    </fill>
    <fill>
      <patternFill patternType="solid">
        <fgColor rgb="FF7E60CE"/>
        <bgColor indexed="64"/>
      </patternFill>
    </fill>
    <fill>
      <patternFill patternType="solid">
        <fgColor rgb="FFF5DD92"/>
        <bgColor indexed="64"/>
      </patternFill>
    </fill>
    <fill>
      <patternFill patternType="solid">
        <fgColor rgb="FFFDC745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C69200"/>
        <bgColor indexed="64"/>
      </patternFill>
    </fill>
    <fill>
      <patternFill patternType="solid">
        <fgColor rgb="FFAA800E"/>
        <bgColor indexed="64"/>
      </patternFill>
    </fill>
    <fill>
      <patternFill patternType="solid">
        <fgColor rgb="FF836514"/>
        <bgColor indexed="64"/>
      </patternFill>
    </fill>
    <fill>
      <patternFill patternType="solid">
        <fgColor rgb="FFFBCF8D"/>
        <bgColor indexed="64"/>
      </patternFill>
    </fill>
    <fill>
      <patternFill patternType="solid">
        <fgColor rgb="FFFDC87D"/>
        <bgColor indexed="64"/>
      </patternFill>
    </fill>
    <fill>
      <patternFill patternType="solid">
        <fgColor rgb="FFFFB754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D67500"/>
        <bgColor indexed="64"/>
      </patternFill>
    </fill>
    <fill>
      <patternFill patternType="solid">
        <fgColor rgb="FF9E6209"/>
        <bgColor indexed="64"/>
      </patternFill>
    </fill>
    <fill>
      <patternFill patternType="solid">
        <fgColor rgb="FF6C4713"/>
        <bgColor indexed="64"/>
      </patternFill>
    </fill>
    <fill>
      <patternFill patternType="solid">
        <fgColor rgb="FFFFB57B"/>
        <bgColor indexed="64"/>
      </patternFill>
    </fill>
    <fill>
      <patternFill patternType="solid">
        <fgColor rgb="FFFF963B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EF6B00"/>
        <bgColor indexed="64"/>
      </patternFill>
    </fill>
    <fill>
      <patternFill patternType="solid">
        <fgColor rgb="FFCA4E00"/>
        <bgColor indexed="64"/>
      </patternFill>
    </fill>
    <fill>
      <patternFill patternType="solid">
        <fgColor rgb="FF933F00"/>
        <bgColor indexed="64"/>
      </patternFill>
    </fill>
    <fill>
      <patternFill patternType="solid">
        <fgColor rgb="FF51260B"/>
        <bgColor indexed="64"/>
      </patternFill>
    </fill>
    <fill>
      <patternFill patternType="solid">
        <fgColor rgb="FFFFBFA0"/>
        <bgColor indexed="64"/>
      </patternFill>
    </fill>
    <fill>
      <patternFill patternType="solid">
        <fgColor rgb="FFFFA97D"/>
        <bgColor indexed="64"/>
      </patternFill>
    </fill>
    <fill>
      <patternFill patternType="solid">
        <fgColor rgb="FFFF8642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DA5C05"/>
        <bgColor indexed="64"/>
      </patternFill>
    </fill>
    <fill>
      <patternFill patternType="solid">
        <fgColor rgb="FFA24A13"/>
        <bgColor indexed="64"/>
      </patternFill>
    </fill>
    <fill>
      <patternFill patternType="solid">
        <fgColor rgb="FF853C10"/>
        <bgColor indexed="64"/>
      </patternFill>
    </fill>
    <fill>
      <patternFill patternType="solid">
        <fgColor rgb="FFFFA28B"/>
        <bgColor indexed="64"/>
      </patternFill>
    </fill>
    <fill>
      <patternFill patternType="solid">
        <fgColor rgb="FFFF8E70"/>
        <bgColor indexed="64"/>
      </patternFill>
    </fill>
    <fill>
      <patternFill patternType="solid">
        <fgColor rgb="FFFF6C3B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E54800"/>
        <bgColor indexed="64"/>
      </patternFill>
    </fill>
    <fill>
      <patternFill patternType="solid">
        <fgColor rgb="FFA83C0F"/>
        <bgColor indexed="64"/>
      </patternFill>
    </fill>
    <fill>
      <patternFill patternType="solid">
        <fgColor rgb="FF863514"/>
        <bgColor indexed="64"/>
      </patternFill>
    </fill>
    <fill>
      <patternFill patternType="solid">
        <fgColor rgb="FFFE9DB0"/>
        <bgColor indexed="64"/>
      </patternFill>
    </fill>
    <fill>
      <patternFill patternType="solid">
        <fgColor rgb="FFFAAFC2"/>
        <bgColor indexed="64"/>
      </patternFill>
    </fill>
    <fill>
      <patternFill patternType="solid">
        <fgColor rgb="FFFF859A"/>
        <bgColor indexed="64"/>
      </patternFill>
    </fill>
    <fill>
      <patternFill patternType="solid">
        <fgColor rgb="FFFB6581"/>
        <bgColor indexed="64"/>
      </patternFill>
    </fill>
    <fill>
      <patternFill patternType="solid">
        <fgColor rgb="FFF9455B"/>
        <bgColor indexed="64"/>
      </patternFill>
    </fill>
    <fill>
      <patternFill patternType="solid">
        <fgColor rgb="FFF9425F"/>
        <bgColor indexed="64"/>
      </patternFill>
    </fill>
    <fill>
      <patternFill patternType="solid">
        <fgColor rgb="FFEF2B2D"/>
        <bgColor indexed="64"/>
      </patternFill>
    </fill>
    <fill>
      <patternFill patternType="solid">
        <fgColor rgb="FFF02233"/>
        <bgColor indexed="64"/>
      </patternFill>
    </fill>
    <fill>
      <patternFill patternType="solid">
        <fgColor rgb="FFD81F2A"/>
        <bgColor indexed="64"/>
      </patternFill>
    </fill>
    <fill>
      <patternFill patternType="solid">
        <fgColor rgb="FFD02433"/>
        <bgColor indexed="64"/>
      </patternFill>
    </fill>
    <fill>
      <patternFill patternType="solid">
        <fgColor rgb="FFB0232A"/>
        <bgColor indexed="64"/>
      </patternFill>
    </fill>
    <fill>
      <patternFill patternType="solid">
        <fgColor rgb="FFA12830"/>
        <bgColor indexed="64"/>
      </patternFill>
    </fill>
    <fill>
      <patternFill patternType="solid">
        <fgColor rgb="FF7C211E"/>
        <bgColor indexed="64"/>
      </patternFill>
    </fill>
    <fill>
      <patternFill patternType="solid">
        <fgColor rgb="FF5E2728"/>
        <bgColor indexed="64"/>
      </patternFill>
    </fill>
    <fill>
      <patternFill patternType="solid">
        <fgColor rgb="FFF3BCD4"/>
        <bgColor indexed="64"/>
      </patternFill>
    </fill>
    <fill>
      <patternFill patternType="solid">
        <fgColor rgb="FFF59BBD"/>
        <bgColor indexed="64"/>
      </patternFill>
    </fill>
    <fill>
      <patternFill patternType="solid">
        <fgColor rgb="FFF2558A"/>
        <bgColor indexed="64"/>
      </patternFill>
    </fill>
    <fill>
      <patternFill patternType="solid">
        <fgColor rgb="FFE40050"/>
        <bgColor indexed="64"/>
      </patternFill>
    </fill>
    <fill>
      <patternFill patternType="solid">
        <fgColor rgb="FFCB0447"/>
        <bgColor indexed="64"/>
      </patternFill>
    </fill>
    <fill>
      <patternFill patternType="solid">
        <fgColor rgb="FFAA113F"/>
        <bgColor indexed="64"/>
      </patternFill>
    </fill>
    <fill>
      <patternFill patternType="solid">
        <fgColor rgb="FF93173B"/>
        <bgColor indexed="64"/>
      </patternFill>
    </fill>
    <fill>
      <patternFill patternType="solid">
        <fgColor rgb="FFEFC3E4"/>
        <bgColor indexed="64"/>
      </patternFill>
    </fill>
    <fill>
      <patternFill patternType="solid">
        <fgColor rgb="FFE270CD"/>
        <bgColor indexed="64"/>
      </patternFill>
    </fill>
    <fill>
      <patternFill patternType="solid">
        <fgColor rgb="FFD733B4"/>
        <bgColor indexed="64"/>
      </patternFill>
    </fill>
    <fill>
      <patternFill patternType="solid">
        <fgColor rgb="FFC40098"/>
        <bgColor indexed="64"/>
      </patternFill>
    </fill>
    <fill>
      <patternFill patternType="solid">
        <fgColor rgb="FFA70084"/>
        <bgColor indexed="64"/>
      </patternFill>
    </fill>
    <fill>
      <patternFill patternType="solid">
        <fgColor rgb="FF970076"/>
        <bgColor indexed="64"/>
      </patternFill>
    </fill>
    <fill>
      <patternFill patternType="solid">
        <fgColor rgb="FF820063"/>
        <bgColor indexed="64"/>
      </patternFill>
    </fill>
    <fill>
      <patternFill patternType="solid">
        <fgColor rgb="FFCFA5E4"/>
        <bgColor indexed="64"/>
      </patternFill>
    </fill>
    <fill>
      <patternFill patternType="solid">
        <fgColor rgb="FFC79DD8"/>
        <bgColor indexed="64"/>
      </patternFill>
    </fill>
    <fill>
      <patternFill patternType="solid">
        <fgColor rgb="FFBB99DA"/>
        <bgColor indexed="64"/>
      </patternFill>
    </fill>
    <fill>
      <patternFill patternType="solid">
        <fgColor rgb="FFC084DC"/>
        <bgColor indexed="64"/>
      </patternFill>
    </fill>
    <fill>
      <patternFill patternType="solid">
        <fgColor rgb="FFB279C8"/>
        <bgColor indexed="64"/>
      </patternFill>
    </fill>
    <fill>
      <patternFill patternType="solid">
        <fgColor rgb="FFA276CC"/>
        <bgColor indexed="64"/>
      </patternFill>
    </fill>
    <fill>
      <patternFill patternType="solid">
        <fgColor rgb="FFA24CC8"/>
        <bgColor indexed="64"/>
      </patternFill>
    </fill>
    <fill>
      <patternFill patternType="solid">
        <fgColor rgb="FF9E4FA5"/>
        <bgColor indexed="64"/>
      </patternFill>
    </fill>
    <fill>
      <patternFill patternType="solid">
        <fgColor rgb="FF8348B5"/>
        <bgColor indexed="64"/>
      </patternFill>
    </fill>
    <fill>
      <patternFill patternType="solid">
        <fgColor rgb="FF9016B2"/>
        <bgColor indexed="64"/>
      </patternFill>
    </fill>
    <fill>
      <patternFill patternType="solid">
        <fgColor rgb="FF7E2B97"/>
        <bgColor indexed="64"/>
      </patternFill>
    </fill>
    <fill>
      <patternFill patternType="solid">
        <fgColor rgb="FF59058D"/>
        <bgColor indexed="64"/>
      </patternFill>
    </fill>
    <fill>
      <patternFill patternType="solid">
        <fgColor rgb="FF7D0996"/>
        <bgColor indexed="64"/>
      </patternFill>
    </fill>
    <fill>
      <patternFill patternType="solid">
        <fgColor rgb="FF68177F"/>
        <bgColor indexed="64"/>
      </patternFill>
    </fill>
    <fill>
      <patternFill patternType="solid">
        <fgColor rgb="FF4F027C"/>
        <bgColor indexed="64"/>
      </patternFill>
    </fill>
    <fill>
      <patternFill patternType="solid">
        <fgColor rgb="FF6A1A7A"/>
        <bgColor indexed="64"/>
      </patternFill>
    </fill>
    <fill>
      <patternFill patternType="solid">
        <fgColor rgb="FF611774"/>
        <bgColor indexed="64"/>
      </patternFill>
    </fill>
    <fill>
      <patternFill patternType="solid">
        <fgColor rgb="FF4B0B71"/>
        <bgColor indexed="64"/>
      </patternFill>
    </fill>
    <fill>
      <patternFill patternType="solid">
        <fgColor rgb="FF572458"/>
        <bgColor indexed="64"/>
      </patternFill>
    </fill>
    <fill>
      <patternFill patternType="solid">
        <fgColor rgb="FF581963"/>
        <bgColor indexed="64"/>
      </patternFill>
    </fill>
    <fill>
      <patternFill patternType="solid">
        <fgColor rgb="FF43125F"/>
        <bgColor indexed="64"/>
      </patternFill>
    </fill>
    <fill>
      <patternFill patternType="solid">
        <fgColor rgb="FFBFAFE4"/>
        <bgColor indexed="64"/>
      </patternFill>
    </fill>
    <fill>
      <patternFill patternType="solid">
        <fgColor rgb="FFAA94DE"/>
        <bgColor indexed="64"/>
      </patternFill>
    </fill>
    <fill>
      <patternFill patternType="solid">
        <fgColor rgb="FF9173D3"/>
        <bgColor indexed="64"/>
      </patternFill>
    </fill>
    <fill>
      <patternFill patternType="solid">
        <fgColor rgb="FF7A52C7"/>
        <bgColor indexed="64"/>
      </patternFill>
    </fill>
    <fill>
      <patternFill patternType="solid">
        <fgColor rgb="FF6607A5"/>
        <bgColor indexed="64"/>
      </patternFill>
    </fill>
    <fill>
      <patternFill patternType="solid">
        <fgColor rgb="FF3B0084"/>
        <bgColor indexed="64"/>
      </patternFill>
    </fill>
    <fill>
      <patternFill patternType="solid">
        <fgColor rgb="FF381D59"/>
        <bgColor indexed="64"/>
      </patternFill>
    </fill>
    <fill>
      <patternFill patternType="solid">
        <fgColor rgb="FFA29FE0"/>
        <bgColor indexed="64"/>
      </patternFill>
    </fill>
    <fill>
      <patternFill patternType="solid">
        <fgColor rgb="FFC4CBEA"/>
        <bgColor indexed="64"/>
      </patternFill>
    </fill>
    <fill>
      <patternFill patternType="solid">
        <fgColor rgb="FFBDD0EE"/>
        <bgColor indexed="64"/>
      </patternFill>
    </fill>
    <fill>
      <patternFill patternType="solid">
        <fgColor rgb="FFB1C5EA"/>
        <bgColor indexed="64"/>
      </patternFill>
    </fill>
    <fill>
      <patternFill patternType="solid">
        <fgColor rgb="FF8580D8"/>
        <bgColor indexed="64"/>
      </patternFill>
    </fill>
    <fill>
      <patternFill patternType="solid">
        <fgColor rgb="FF94A1E2"/>
        <bgColor indexed="64"/>
      </patternFill>
    </fill>
    <fill>
      <patternFill patternType="solid">
        <fgColor rgb="FFA1BDEA"/>
        <bgColor indexed="64"/>
      </patternFill>
    </fill>
    <fill>
      <patternFill patternType="solid">
        <fgColor rgb="FF547ED9"/>
        <bgColor indexed="64"/>
      </patternFill>
    </fill>
    <fill>
      <patternFill patternType="solid">
        <fgColor rgb="FF5E53C7"/>
        <bgColor indexed="64"/>
      </patternFill>
    </fill>
    <fill>
      <patternFill patternType="solid">
        <fgColor rgb="FF4555C7"/>
        <bgColor indexed="64"/>
      </patternFill>
    </fill>
    <fill>
      <patternFill patternType="solid">
        <fgColor rgb="FF3878DB"/>
        <bgColor indexed="64"/>
      </patternFill>
    </fill>
    <fill>
      <patternFill patternType="solid">
        <fgColor rgb="FF0047BE"/>
        <bgColor indexed="64"/>
      </patternFill>
    </fill>
    <fill>
      <patternFill patternType="solid">
        <fgColor rgb="FF380096"/>
        <bgColor indexed="64"/>
      </patternFill>
    </fill>
    <fill>
      <patternFill patternType="solid">
        <fgColor rgb="FF280092"/>
        <bgColor indexed="64"/>
      </patternFill>
    </fill>
    <fill>
      <patternFill patternType="solid">
        <fgColor rgb="FF1E22AE"/>
        <bgColor indexed="64"/>
      </patternFill>
    </fill>
    <fill>
      <patternFill patternType="solid">
        <fgColor rgb="FF00129D"/>
        <bgColor indexed="64"/>
      </patternFill>
    </fill>
    <fill>
      <patternFill patternType="solid">
        <fgColor rgb="FF22007A"/>
        <bgColor indexed="64"/>
      </patternFill>
    </fill>
    <fill>
      <patternFill patternType="solid">
        <fgColor rgb="FF1A1C96"/>
        <bgColor indexed="64"/>
      </patternFill>
    </fill>
    <fill>
      <patternFill patternType="solid">
        <fgColor rgb="FF00237E"/>
        <bgColor indexed="64"/>
      </patternFill>
    </fill>
    <fill>
      <patternFill patternType="solid">
        <fgColor rgb="FF001A7B"/>
        <bgColor indexed="64"/>
      </patternFill>
    </fill>
    <fill>
      <patternFill patternType="solid">
        <fgColor rgb="FF1B0069"/>
        <bgColor indexed="64"/>
      </patternFill>
    </fill>
    <fill>
      <patternFill patternType="solid">
        <fgColor rgb="FF151D71"/>
        <bgColor indexed="64"/>
      </patternFill>
    </fill>
    <fill>
      <patternFill patternType="solid">
        <fgColor rgb="FF002065"/>
        <bgColor indexed="64"/>
      </patternFill>
    </fill>
    <fill>
      <patternFill patternType="solid">
        <fgColor rgb="FF001D68"/>
        <bgColor indexed="64"/>
      </patternFill>
    </fill>
    <fill>
      <patternFill patternType="solid">
        <fgColor rgb="FF1B0C55"/>
        <bgColor indexed="64"/>
      </patternFill>
    </fill>
    <fill>
      <patternFill patternType="solid">
        <fgColor rgb="FF151C55"/>
        <bgColor indexed="64"/>
      </patternFill>
    </fill>
    <fill>
      <patternFill patternType="solid">
        <fgColor rgb="FF0B2345"/>
        <bgColor indexed="64"/>
      </patternFill>
    </fill>
    <fill>
      <patternFill patternType="solid">
        <fgColor rgb="FF112151"/>
        <bgColor indexed="64"/>
      </patternFill>
    </fill>
    <fill>
      <patternFill patternType="solid">
        <fgColor rgb="FF92C9EB"/>
        <bgColor indexed="64"/>
      </patternFill>
    </fill>
    <fill>
      <patternFill patternType="solid">
        <fgColor rgb="FF62B4E8"/>
        <bgColor indexed="64"/>
      </patternFill>
    </fill>
    <fill>
      <patternFill patternType="solid">
        <fgColor rgb="FF0092DD"/>
        <bgColor indexed="64"/>
      </patternFill>
    </fill>
    <fill>
      <patternFill patternType="solid">
        <fgColor rgb="FF005BC3"/>
        <bgColor indexed="64"/>
      </patternFill>
    </fill>
    <fill>
      <patternFill patternType="solid">
        <fgColor rgb="FF0053A5"/>
        <bgColor indexed="64"/>
      </patternFill>
    </fill>
    <fill>
      <patternFill patternType="solid">
        <fgColor rgb="FF003B6F"/>
        <bgColor indexed="64"/>
      </patternFill>
    </fill>
    <fill>
      <patternFill patternType="solid">
        <fgColor rgb="FF003151"/>
        <bgColor indexed="64"/>
      </patternFill>
    </fill>
    <fill>
      <patternFill patternType="solid">
        <fgColor rgb="FFA5D9EC"/>
        <bgColor indexed="64"/>
      </patternFill>
    </fill>
    <fill>
      <patternFill patternType="solid">
        <fgColor rgb="FF40BDE8"/>
        <bgColor indexed="64"/>
      </patternFill>
    </fill>
    <fill>
      <patternFill patternType="solid">
        <fgColor rgb="FF00A2E1"/>
        <bgColor indexed="64"/>
      </patternFill>
    </fill>
    <fill>
      <patternFill patternType="solid">
        <fgColor rgb="FF0076CC"/>
        <bgColor indexed="64"/>
      </patternFill>
    </fill>
    <fill>
      <patternFill patternType="solid">
        <fgColor rgb="FF0060A1"/>
        <bgColor indexed="64"/>
      </patternFill>
    </fill>
    <fill>
      <patternFill patternType="solid">
        <fgColor rgb="FF003A4F"/>
        <bgColor indexed="64"/>
      </patternFill>
    </fill>
    <fill>
      <patternFill patternType="solid">
        <fgColor rgb="FF6FD2E4"/>
        <bgColor indexed="64"/>
      </patternFill>
    </fill>
    <fill>
      <patternFill patternType="solid">
        <fgColor rgb="FF00C4DC"/>
        <bgColor indexed="64"/>
      </patternFill>
    </fill>
    <fill>
      <patternFill patternType="solid">
        <fgColor rgb="FF00AECE"/>
        <bgColor indexed="64"/>
      </patternFill>
    </fill>
    <fill>
      <patternFill patternType="solid">
        <fgColor rgb="FF0092BA"/>
        <bgColor indexed="64"/>
      </patternFill>
    </fill>
    <fill>
      <patternFill patternType="solid">
        <fgColor rgb="FF007A97"/>
        <bgColor indexed="64"/>
      </patternFill>
    </fill>
    <fill>
      <patternFill patternType="solid">
        <fgColor rgb="FF00667C"/>
        <bgColor indexed="64"/>
      </patternFill>
    </fill>
    <fill>
      <patternFill patternType="solid">
        <fgColor rgb="FF004F5D"/>
        <bgColor indexed="64"/>
      </patternFill>
    </fill>
    <fill>
      <patternFill patternType="solid">
        <fgColor rgb="FF75D9D8"/>
        <bgColor indexed="64"/>
      </patternFill>
    </fill>
    <fill>
      <patternFill patternType="solid">
        <fgColor rgb="FF7BDDD8"/>
        <bgColor indexed="64"/>
      </patternFill>
    </fill>
    <fill>
      <patternFill patternType="solid">
        <fgColor rgb="FF7BD2C8"/>
        <bgColor indexed="64"/>
      </patternFill>
    </fill>
    <fill>
      <patternFill patternType="solid">
        <fgColor rgb="FF41D2D2"/>
        <bgColor indexed="64"/>
      </patternFill>
    </fill>
    <fill>
      <patternFill patternType="solid">
        <fgColor rgb="FF32D4CB"/>
        <bgColor indexed="64"/>
      </patternFill>
    </fill>
    <fill>
      <patternFill patternType="solid">
        <fgColor rgb="FF43C4B7"/>
        <bgColor indexed="64"/>
      </patternFill>
    </fill>
    <fill>
      <patternFill patternType="solid">
        <fgColor rgb="FF00BAB9"/>
        <bgColor indexed="64"/>
      </patternFill>
    </fill>
    <fill>
      <patternFill patternType="solid">
        <fgColor rgb="FF00C2B6"/>
        <bgColor indexed="64"/>
      </patternFill>
    </fill>
    <fill>
      <patternFill patternType="solid">
        <fgColor rgb="FF00A994"/>
        <bgColor indexed="64"/>
      </patternFill>
    </fill>
    <fill>
      <patternFill patternType="solid">
        <fgColor rgb="FF00A19C"/>
        <bgColor indexed="64"/>
      </patternFill>
    </fill>
    <fill>
      <patternFill patternType="solid">
        <fgColor rgb="FF00B09D"/>
        <bgColor indexed="64"/>
      </patternFill>
    </fill>
    <fill>
      <patternFill patternType="solid">
        <fgColor rgb="FF00997A"/>
        <bgColor indexed="64"/>
      </patternFill>
    </fill>
    <fill>
      <patternFill patternType="solid">
        <fgColor rgb="FF008480"/>
        <bgColor indexed="64"/>
      </patternFill>
    </fill>
    <fill>
      <patternFill patternType="solid">
        <fgColor rgb="FF009384"/>
        <bgColor indexed="64"/>
      </patternFill>
    </fill>
    <fill>
      <patternFill patternType="solid">
        <fgColor rgb="FF007E64"/>
        <bgColor indexed="64"/>
      </patternFill>
    </fill>
    <fill>
      <patternFill patternType="solid">
        <fgColor rgb="FF005A53"/>
        <bgColor indexed="64"/>
      </patternFill>
    </fill>
    <fill>
      <patternFill patternType="solid">
        <fgColor rgb="FF007C6F"/>
        <bgColor indexed="64"/>
      </patternFill>
    </fill>
    <fill>
      <patternFill patternType="solid">
        <fgColor rgb="FF006752"/>
        <bgColor indexed="64"/>
      </patternFill>
    </fill>
    <fill>
      <patternFill patternType="solid">
        <fgColor rgb="FF00423C"/>
        <bgColor indexed="64"/>
      </patternFill>
    </fill>
    <fill>
      <patternFill patternType="solid">
        <fgColor rgb="FF004A41"/>
        <bgColor indexed="64"/>
      </patternFill>
    </fill>
    <fill>
      <patternFill patternType="solid">
        <fgColor rgb="FF004236"/>
        <bgColor indexed="64"/>
      </patternFill>
    </fill>
    <fill>
      <patternFill patternType="solid">
        <fgColor rgb="FF81E0C7"/>
        <bgColor indexed="64"/>
      </patternFill>
    </fill>
    <fill>
      <patternFill patternType="solid">
        <fgColor rgb="FF3BD6B2"/>
        <bgColor indexed="64"/>
      </patternFill>
    </fill>
    <fill>
      <patternFill patternType="solid">
        <fgColor rgb="FF00C590"/>
        <bgColor indexed="64"/>
      </patternFill>
    </fill>
    <fill>
      <patternFill patternType="solid">
        <fgColor rgb="FF00AE68"/>
        <bgColor indexed="64"/>
      </patternFill>
    </fill>
    <fill>
      <patternFill patternType="solid">
        <fgColor rgb="FF00774B"/>
        <bgColor indexed="64"/>
      </patternFill>
    </fill>
    <fill>
      <patternFill patternType="solid">
        <fgColor rgb="FF006644"/>
        <bgColor indexed="64"/>
      </patternFill>
    </fill>
    <fill>
      <patternFill patternType="solid">
        <fgColor rgb="FF004731"/>
        <bgColor indexed="64"/>
      </patternFill>
    </fill>
    <fill>
      <patternFill patternType="solid">
        <fgColor rgb="FFF0EB7A"/>
        <bgColor indexed="64"/>
      </patternFill>
    </fill>
    <fill>
      <patternFill patternType="solid">
        <fgColor rgb="FFEFE600"/>
        <bgColor indexed="64"/>
      </patternFill>
    </fill>
    <fill>
      <patternFill patternType="solid">
        <fgColor rgb="FFECE100"/>
        <bgColor indexed="64"/>
      </patternFill>
    </fill>
    <fill>
      <patternFill patternType="solid">
        <fgColor rgb="FFE9DC00"/>
        <bgColor indexed="64"/>
      </patternFill>
    </fill>
    <fill>
      <patternFill patternType="solid">
        <fgColor rgb="FFBBA800"/>
        <bgColor indexed="64"/>
      </patternFill>
    </fill>
    <fill>
      <patternFill patternType="solid">
        <fgColor rgb="FF9B8900"/>
        <bgColor indexed="64"/>
      </patternFill>
    </fill>
    <fill>
      <patternFill patternType="solid">
        <fgColor rgb="FF6A5B07"/>
        <bgColor indexed="64"/>
      </patternFill>
    </fill>
    <fill>
      <patternFill patternType="solid">
        <fgColor rgb="FF5D4718"/>
        <bgColor indexed="64"/>
      </patternFill>
    </fill>
    <fill>
      <patternFill patternType="solid">
        <fgColor rgb="FF836E2C"/>
        <bgColor indexed="64"/>
      </patternFill>
    </fill>
    <fill>
      <patternFill patternType="solid">
        <fgColor rgb="FF9B8948"/>
        <bgColor indexed="64"/>
      </patternFill>
    </fill>
    <fill>
      <patternFill patternType="solid">
        <fgColor rgb="FFB5A570"/>
        <bgColor indexed="64"/>
      </patternFill>
    </fill>
    <fill>
      <patternFill patternType="solid">
        <fgColor rgb="FFC5BA8E"/>
        <bgColor indexed="64"/>
      </patternFill>
    </fill>
    <fill>
      <patternFill patternType="solid">
        <fgColor rgb="FFD4CCAA"/>
        <bgColor indexed="64"/>
      </patternFill>
    </fill>
    <fill>
      <patternFill patternType="solid">
        <fgColor rgb="FFDED9C2"/>
        <bgColor indexed="64"/>
      </patternFill>
    </fill>
    <fill>
      <patternFill patternType="solid">
        <fgColor rgb="FF4E2614"/>
        <bgColor indexed="64"/>
      </patternFill>
    </fill>
    <fill>
      <patternFill patternType="solid">
        <fgColor rgb="FF905A33"/>
        <bgColor indexed="64"/>
      </patternFill>
    </fill>
    <fill>
      <patternFill patternType="solid">
        <fgColor rgb="FFB17F5C"/>
        <bgColor indexed="64"/>
      </patternFill>
    </fill>
    <fill>
      <patternFill patternType="solid">
        <fgColor rgb="FFC09477"/>
        <bgColor indexed="64"/>
      </patternFill>
    </fill>
    <fill>
      <patternFill patternType="solid">
        <fgColor rgb="FFD1AE97"/>
        <bgColor indexed="64"/>
      </patternFill>
    </fill>
    <fill>
      <patternFill patternType="solid">
        <fgColor rgb="FFDDC2B0"/>
        <bgColor indexed="64"/>
      </patternFill>
    </fill>
    <fill>
      <patternFill patternType="solid">
        <fgColor rgb="FFE4D2C5"/>
        <bgColor indexed="64"/>
      </patternFill>
    </fill>
    <fill>
      <patternFill patternType="solid">
        <fgColor rgb="FF532821"/>
        <bgColor indexed="64"/>
      </patternFill>
    </fill>
    <fill>
      <patternFill patternType="solid">
        <fgColor rgb="FF7F4C3E"/>
        <bgColor indexed="64"/>
      </patternFill>
    </fill>
    <fill>
      <patternFill patternType="solid">
        <fgColor rgb="FF9B6E5F"/>
        <bgColor indexed="64"/>
      </patternFill>
    </fill>
    <fill>
      <patternFill patternType="solid">
        <fgColor rgb="FFB28D7F"/>
        <bgColor indexed="64"/>
      </patternFill>
    </fill>
    <fill>
      <patternFill patternType="solid">
        <fgColor rgb="FFC5AAA0"/>
        <bgColor indexed="64"/>
      </patternFill>
    </fill>
    <fill>
      <patternFill patternType="solid">
        <fgColor rgb="FFD4BEB6"/>
        <bgColor indexed="64"/>
      </patternFill>
    </fill>
    <fill>
      <patternFill patternType="solid">
        <fgColor rgb="FFDDCDC7"/>
        <bgColor indexed="64"/>
      </patternFill>
    </fill>
    <fill>
      <patternFill patternType="solid">
        <fgColor rgb="FF441E1F"/>
        <bgColor indexed="64"/>
      </patternFill>
    </fill>
    <fill>
      <patternFill patternType="solid">
        <fgColor rgb="FF854A50"/>
        <bgColor indexed="64"/>
      </patternFill>
    </fill>
    <fill>
      <patternFill patternType="solid">
        <fgColor rgb="FFA16971"/>
        <bgColor indexed="64"/>
      </patternFill>
    </fill>
    <fill>
      <patternFill patternType="solid">
        <fgColor rgb="FFB7848C"/>
        <bgColor indexed="64"/>
      </patternFill>
    </fill>
    <fill>
      <patternFill patternType="solid">
        <fgColor rgb="FFD1A9B0"/>
        <bgColor indexed="64"/>
      </patternFill>
    </fill>
    <fill>
      <patternFill patternType="solid">
        <fgColor rgb="FFDBBCC1"/>
        <bgColor indexed="64"/>
      </patternFill>
    </fill>
    <fill>
      <patternFill patternType="solid">
        <fgColor rgb="FFE3CBD0"/>
        <bgColor indexed="64"/>
      </patternFill>
    </fill>
    <fill>
      <patternFill patternType="solid">
        <fgColor rgb="FF4B253E"/>
        <bgColor indexed="64"/>
      </patternFill>
    </fill>
    <fill>
      <patternFill patternType="solid">
        <fgColor rgb="FF704165"/>
        <bgColor indexed="64"/>
      </patternFill>
    </fill>
    <fill>
      <patternFill patternType="solid">
        <fgColor rgb="FF885E80"/>
        <bgColor indexed="64"/>
      </patternFill>
    </fill>
    <fill>
      <patternFill patternType="solid">
        <fgColor rgb="FFA17E9A"/>
        <bgColor indexed="64"/>
      </patternFill>
    </fill>
    <fill>
      <patternFill patternType="solid">
        <fgColor rgb="FFC0A6BD"/>
        <bgColor indexed="64"/>
      </patternFill>
    </fill>
    <fill>
      <patternFill patternType="solid">
        <fgColor rgb="FFD6C5D3"/>
        <bgColor indexed="64"/>
      </patternFill>
    </fill>
    <fill>
      <patternFill patternType="solid">
        <fgColor rgb="FFE0D5DE"/>
        <bgColor indexed="64"/>
      </patternFill>
    </fill>
    <fill>
      <patternFill patternType="solid">
        <fgColor rgb="FF45293B"/>
        <bgColor indexed="64"/>
      </patternFill>
    </fill>
    <fill>
      <patternFill patternType="solid">
        <fgColor rgb="FF5E3A51"/>
        <bgColor indexed="64"/>
      </patternFill>
    </fill>
    <fill>
      <patternFill patternType="solid">
        <fgColor rgb="FF8B687D"/>
        <bgColor indexed="64"/>
      </patternFill>
    </fill>
    <fill>
      <patternFill patternType="solid">
        <fgColor rgb="FFB195A6"/>
        <bgColor indexed="64"/>
      </patternFill>
    </fill>
    <fill>
      <patternFill patternType="solid">
        <fgColor rgb="FFC6B0BE"/>
        <bgColor indexed="64"/>
      </patternFill>
    </fill>
    <fill>
      <patternFill patternType="solid">
        <fgColor rgb="FFD4C4CE"/>
        <bgColor indexed="64"/>
      </patternFill>
    </fill>
    <fill>
      <patternFill patternType="solid">
        <fgColor rgb="FFDFD4DB"/>
        <bgColor indexed="64"/>
      </patternFill>
    </fill>
    <fill>
      <patternFill patternType="solid">
        <fgColor rgb="FF2A254B"/>
        <bgColor indexed="64"/>
      </patternFill>
    </fill>
    <fill>
      <patternFill patternType="solid">
        <fgColor rgb="FF433B67"/>
        <bgColor indexed="64"/>
      </patternFill>
    </fill>
    <fill>
      <patternFill patternType="solid">
        <fgColor rgb="FF57527E"/>
        <bgColor indexed="64"/>
      </patternFill>
    </fill>
    <fill>
      <patternFill patternType="solid">
        <fgColor rgb="FF8581A4"/>
        <bgColor indexed="64"/>
      </patternFill>
    </fill>
    <fill>
      <patternFill patternType="solid">
        <fgColor rgb="FFAAA7C1"/>
        <bgColor indexed="64"/>
      </patternFill>
    </fill>
    <fill>
      <patternFill patternType="solid">
        <fgColor rgb="FFC1BED1"/>
        <bgColor indexed="64"/>
      </patternFill>
    </fill>
    <fill>
      <patternFill patternType="solid">
        <fgColor rgb="FFD4D4E0"/>
        <bgColor indexed="64"/>
      </patternFill>
    </fill>
    <fill>
      <patternFill patternType="solid">
        <fgColor rgb="FF02253A"/>
        <bgColor indexed="64"/>
      </patternFill>
    </fill>
    <fill>
      <patternFill patternType="solid">
        <fgColor rgb="FF3E647E"/>
        <bgColor indexed="64"/>
      </patternFill>
    </fill>
    <fill>
      <patternFill patternType="solid">
        <fgColor rgb="FF587993"/>
        <bgColor indexed="64"/>
      </patternFill>
    </fill>
    <fill>
      <patternFill patternType="solid">
        <fgColor rgb="FF7C98AE"/>
        <bgColor indexed="64"/>
      </patternFill>
    </fill>
    <fill>
      <patternFill patternType="solid">
        <fgColor rgb="FFA5B8C9"/>
        <bgColor indexed="64"/>
      </patternFill>
    </fill>
    <fill>
      <patternFill patternType="solid">
        <fgColor rgb="FFBCCAD6"/>
        <bgColor indexed="64"/>
      </patternFill>
    </fill>
    <fill>
      <patternFill patternType="solid">
        <fgColor rgb="FFCCD6E0"/>
        <bgColor indexed="64"/>
      </patternFill>
    </fill>
    <fill>
      <patternFill patternType="solid">
        <fgColor rgb="FF002830"/>
        <bgColor indexed="64"/>
      </patternFill>
    </fill>
    <fill>
      <patternFill patternType="solid">
        <fgColor rgb="FF183533"/>
        <bgColor indexed="64"/>
      </patternFill>
    </fill>
    <fill>
      <patternFill patternType="solid">
        <fgColor rgb="FF00626E"/>
        <bgColor indexed="64"/>
      </patternFill>
    </fill>
    <fill>
      <patternFill patternType="solid">
        <fgColor rgb="FF3C5B59"/>
        <bgColor indexed="64"/>
      </patternFill>
    </fill>
    <fill>
      <patternFill patternType="solid">
        <fgColor rgb="FF4F8D97"/>
        <bgColor indexed="64"/>
      </patternFill>
    </fill>
    <fill>
      <patternFill patternType="solid">
        <fgColor rgb="FF627D7C"/>
        <bgColor indexed="64"/>
      </patternFill>
    </fill>
    <fill>
      <patternFill patternType="solid">
        <fgColor rgb="FF81ADB5"/>
        <bgColor indexed="64"/>
      </patternFill>
    </fill>
    <fill>
      <patternFill patternType="solid">
        <fgColor rgb="FF8DA09F"/>
        <bgColor indexed="64"/>
      </patternFill>
    </fill>
    <fill>
      <patternFill patternType="solid">
        <fgColor rgb="FFA1C3C9"/>
        <bgColor indexed="64"/>
      </patternFill>
    </fill>
    <fill>
      <patternFill patternType="solid">
        <fgColor rgb="FFAAB8B9"/>
        <bgColor indexed="64"/>
      </patternFill>
    </fill>
    <fill>
      <patternFill patternType="solid">
        <fgColor rgb="FFBED5D9"/>
        <bgColor indexed="64"/>
      </patternFill>
    </fill>
    <fill>
      <patternFill patternType="solid">
        <fgColor rgb="FFBFCBCC"/>
        <bgColor indexed="64"/>
      </patternFill>
    </fill>
    <fill>
      <patternFill patternType="solid">
        <fgColor rgb="FFCFDEE1"/>
        <bgColor indexed="64"/>
      </patternFill>
    </fill>
    <fill>
      <patternFill patternType="solid">
        <fgColor rgb="FFCCD4D4"/>
        <bgColor indexed="64"/>
      </patternFill>
    </fill>
    <fill>
      <patternFill patternType="solid">
        <fgColor rgb="FF1B3930"/>
        <bgColor indexed="64"/>
      </patternFill>
    </fill>
    <fill>
      <patternFill patternType="solid">
        <fgColor rgb="FF4A6D62"/>
        <bgColor indexed="64"/>
      </patternFill>
    </fill>
    <fill>
      <patternFill patternType="solid">
        <fgColor rgb="FF6E8D82"/>
        <bgColor indexed="64"/>
      </patternFill>
    </fill>
    <fill>
      <patternFill patternType="solid">
        <fgColor rgb="FF8FA8A0"/>
        <bgColor indexed="64"/>
      </patternFill>
    </fill>
    <fill>
      <patternFill patternType="solid">
        <fgColor rgb="FFA9BDB6"/>
        <bgColor indexed="64"/>
      </patternFill>
    </fill>
    <fill>
      <patternFill patternType="solid">
        <fgColor rgb="FFD3DEDB"/>
        <bgColor indexed="64"/>
      </patternFill>
    </fill>
    <fill>
      <patternFill patternType="solid">
        <fgColor rgb="FF193025"/>
        <bgColor indexed="64"/>
      </patternFill>
    </fill>
    <fill>
      <patternFill patternType="solid">
        <fgColor rgb="FF5A7060"/>
        <bgColor indexed="64"/>
      </patternFill>
    </fill>
    <fill>
      <patternFill patternType="solid">
        <fgColor rgb="FF6C8072"/>
        <bgColor indexed="64"/>
      </patternFill>
    </fill>
    <fill>
      <patternFill patternType="solid">
        <fgColor rgb="FF97A69B"/>
        <bgColor indexed="64"/>
      </patternFill>
    </fill>
    <fill>
      <patternFill patternType="solid">
        <fgColor rgb="FFB1BCB5"/>
        <bgColor indexed="64"/>
      </patternFill>
    </fill>
    <fill>
      <patternFill patternType="solid">
        <fgColor rgb="FFBDC5BF"/>
        <bgColor indexed="64"/>
      </patternFill>
    </fill>
    <fill>
      <patternFill patternType="solid">
        <fgColor rgb="FF3E4723"/>
        <bgColor indexed="64"/>
      </patternFill>
    </fill>
    <fill>
      <patternFill patternType="solid">
        <fgColor rgb="FF404616"/>
        <bgColor indexed="64"/>
      </patternFill>
    </fill>
    <fill>
      <patternFill patternType="solid">
        <fgColor rgb="FF5E6639"/>
        <bgColor indexed="64"/>
      </patternFill>
    </fill>
    <fill>
      <patternFill patternType="solid">
        <fgColor rgb="FF6F732D"/>
        <bgColor indexed="64"/>
      </patternFill>
    </fill>
    <fill>
      <patternFill patternType="solid">
        <fgColor rgb="FF6E7649"/>
        <bgColor indexed="64"/>
      </patternFill>
    </fill>
    <fill>
      <patternFill patternType="solid">
        <fgColor rgb="FF8D9150"/>
        <bgColor indexed="64"/>
      </patternFill>
    </fill>
    <fill>
      <patternFill patternType="solid">
        <fgColor rgb="FF939871"/>
        <bgColor indexed="64"/>
      </patternFill>
    </fill>
    <fill>
      <patternFill patternType="solid">
        <fgColor rgb="FFA7AB74"/>
        <bgColor indexed="64"/>
      </patternFill>
    </fill>
    <fill>
      <patternFill patternType="solid">
        <fgColor rgb="FFADB291"/>
        <bgColor indexed="64"/>
      </patternFill>
    </fill>
    <fill>
      <patternFill patternType="solid">
        <fgColor rgb="FFC1C49A"/>
        <bgColor indexed="64"/>
      </patternFill>
    </fill>
    <fill>
      <patternFill patternType="solid">
        <fgColor rgb="FFBDC2A9"/>
        <bgColor indexed="64"/>
      </patternFill>
    </fill>
    <fill>
      <patternFill patternType="solid">
        <fgColor rgb="FFCED1B3"/>
        <bgColor indexed="64"/>
      </patternFill>
    </fill>
    <fill>
      <patternFill patternType="solid">
        <fgColor rgb="FFCED2BF"/>
        <bgColor indexed="64"/>
      </patternFill>
    </fill>
    <fill>
      <patternFill patternType="solid">
        <fgColor rgb="FFD9DCC5"/>
        <bgColor indexed="64"/>
      </patternFill>
    </fill>
    <fill>
      <patternFill patternType="solid">
        <fgColor rgb="FF4B4516"/>
        <bgColor indexed="64"/>
      </patternFill>
    </fill>
    <fill>
      <patternFill patternType="solid">
        <fgColor rgb="FF7D762F"/>
        <bgColor indexed="64"/>
      </patternFill>
    </fill>
    <fill>
      <patternFill patternType="solid">
        <fgColor rgb="FF9D9754"/>
        <bgColor indexed="64"/>
      </patternFill>
    </fill>
    <fill>
      <patternFill patternType="solid">
        <fgColor rgb="FFADA86B"/>
        <bgColor indexed="64"/>
      </patternFill>
    </fill>
    <fill>
      <patternFill patternType="solid">
        <fgColor rgb="FFC7C397"/>
        <bgColor indexed="64"/>
      </patternFill>
    </fill>
    <fill>
      <patternFill patternType="solid">
        <fgColor rgb="FFD3CFAC"/>
        <bgColor indexed="64"/>
      </patternFill>
    </fill>
    <fill>
      <patternFill patternType="solid">
        <fgColor rgb="FFD9D7B9"/>
        <bgColor indexed="64"/>
      </patternFill>
    </fill>
    <fill>
      <patternFill patternType="solid">
        <fgColor rgb="FF3A3321"/>
        <bgColor indexed="64"/>
      </patternFill>
    </fill>
    <fill>
      <patternFill patternType="solid">
        <fgColor rgb="FF282D26"/>
        <bgColor indexed="64"/>
      </patternFill>
    </fill>
    <fill>
      <patternFill patternType="solid">
        <fgColor rgb="FF3D3023"/>
        <bgColor indexed="64"/>
      </patternFill>
    </fill>
    <fill>
      <patternFill patternType="solid">
        <fgColor rgb="FF422D2D"/>
        <bgColor indexed="64"/>
      </patternFill>
    </fill>
    <fill>
      <patternFill patternType="solid">
        <fgColor rgb="FF1C2630"/>
        <bgColor indexed="64"/>
      </patternFill>
    </fill>
    <fill>
      <patternFill patternType="solid">
        <fgColor rgb="FF443D38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DDD8CE"/>
        <bgColor indexed="64"/>
      </patternFill>
    </fill>
    <fill>
      <patternFill patternType="solid">
        <fgColor rgb="FFD3CEC4"/>
        <bgColor indexed="64"/>
      </patternFill>
    </fill>
    <fill>
      <patternFill patternType="solid">
        <fgColor rgb="FFC4C1BA"/>
        <bgColor indexed="64"/>
      </patternFill>
    </fill>
    <fill>
      <patternFill patternType="solid">
        <fgColor rgb="FFBAB7AF"/>
        <bgColor indexed="64"/>
      </patternFill>
    </fill>
    <fill>
      <patternFill patternType="solid">
        <fgColor rgb="FFB5B2AA"/>
        <bgColor indexed="64"/>
      </patternFill>
    </fill>
    <fill>
      <patternFill patternType="solid">
        <fgColor rgb="FFA5A39E"/>
        <bgColor indexed="64"/>
      </patternFill>
    </fill>
    <fill>
      <patternFill patternType="solid">
        <fgColor rgb="FF9B9993"/>
        <bgColor indexed="64"/>
      </patternFill>
    </fill>
    <fill>
      <patternFill patternType="solid">
        <fgColor rgb="FF8C8984"/>
        <bgColor indexed="64"/>
      </patternFill>
    </fill>
    <fill>
      <patternFill patternType="solid">
        <fgColor rgb="FF777772"/>
        <bgColor indexed="64"/>
      </patternFill>
    </fill>
    <fill>
      <patternFill patternType="solid">
        <fgColor rgb="FF686663"/>
        <bgColor indexed="64"/>
      </patternFill>
    </fill>
    <fill>
      <patternFill patternType="solid">
        <fgColor rgb="FFE5DBCC"/>
        <bgColor indexed="64"/>
      </patternFill>
    </fill>
    <fill>
      <patternFill patternType="solid">
        <fgColor rgb="FFDDD1C1"/>
        <bgColor indexed="64"/>
      </patternFill>
    </fill>
    <fill>
      <patternFill patternType="solid">
        <fgColor rgb="FFCCC1B2"/>
        <bgColor indexed="64"/>
      </patternFill>
    </fill>
    <fill>
      <patternFill patternType="solid">
        <fgColor rgb="FFC1B5A5"/>
        <bgColor indexed="64"/>
      </patternFill>
    </fill>
    <fill>
      <patternFill patternType="solid">
        <fgColor rgb="FFB5A899"/>
        <bgColor indexed="64"/>
      </patternFill>
    </fill>
    <fill>
      <patternFill patternType="solid">
        <fgColor rgb="FFAFA393"/>
        <bgColor indexed="64"/>
      </patternFill>
    </fill>
    <fill>
      <patternFill patternType="solid">
        <fgColor rgb="FFA39687"/>
        <bgColor indexed="64"/>
      </patternFill>
    </fill>
    <fill>
      <patternFill patternType="solid">
        <fgColor rgb="FF96897A"/>
        <bgColor indexed="64"/>
      </patternFill>
    </fill>
    <fill>
      <patternFill patternType="solid">
        <fgColor rgb="FF8C7F70"/>
        <bgColor indexed="64"/>
      </patternFill>
    </fill>
    <fill>
      <patternFill patternType="solid">
        <fgColor rgb="FF827263"/>
        <bgColor indexed="64"/>
      </patternFill>
    </fill>
    <fill>
      <patternFill patternType="solid">
        <fgColor rgb="FF6D5E5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00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2" xfId="0" applyBorder="1">
      <alignment vertical="center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8" xfId="0" applyFill="1" applyBorder="1">
      <alignment vertical="center"/>
    </xf>
    <xf numFmtId="0" fontId="3" fillId="0" borderId="0" xfId="0" applyFont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176" fontId="0" fillId="0" borderId="0" xfId="0" applyNumberFormat="1">
      <alignment vertical="center"/>
    </xf>
    <xf numFmtId="176" fontId="4" fillId="0" borderId="0" xfId="0" applyNumberFormat="1" applyFont="1">
      <alignment vertical="center"/>
    </xf>
    <xf numFmtId="0" fontId="4" fillId="0" borderId="0" xfId="0" applyFont="1">
      <alignment vertical="center"/>
    </xf>
    <xf numFmtId="176" fontId="5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177" fontId="4" fillId="0" borderId="0" xfId="0" applyNumberFormat="1" applyFont="1">
      <alignment vertical="center"/>
    </xf>
    <xf numFmtId="177" fontId="8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10" fillId="0" borderId="0" xfId="0" applyFont="1">
      <alignment vertical="center"/>
    </xf>
    <xf numFmtId="0" fontId="9" fillId="0" borderId="0" xfId="0" applyFont="1">
      <alignment vertical="center"/>
    </xf>
    <xf numFmtId="0" fontId="5" fillId="0" borderId="0" xfId="0" applyFont="1">
      <alignment vertical="center"/>
    </xf>
    <xf numFmtId="0" fontId="11" fillId="0" borderId="0" xfId="0" applyFont="1">
      <alignment vertical="center"/>
    </xf>
    <xf numFmtId="56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8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5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242" borderId="0" xfId="0" applyFill="1">
      <alignment vertical="center"/>
    </xf>
    <xf numFmtId="0" fontId="0" fillId="243" borderId="0" xfId="0" applyFill="1">
      <alignment vertical="center"/>
    </xf>
    <xf numFmtId="0" fontId="0" fillId="244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0" fillId="252" borderId="0" xfId="0" applyFill="1">
      <alignment vertical="center"/>
    </xf>
    <xf numFmtId="0" fontId="0" fillId="253" borderId="0" xfId="0" applyFill="1">
      <alignment vertical="center"/>
    </xf>
    <xf numFmtId="0" fontId="0" fillId="254" borderId="0" xfId="0" applyFill="1">
      <alignment vertical="center"/>
    </xf>
    <xf numFmtId="0" fontId="0" fillId="255" borderId="0" xfId="0" applyFill="1">
      <alignment vertical="center"/>
    </xf>
    <xf numFmtId="0" fontId="0" fillId="256" borderId="0" xfId="0" applyFill="1">
      <alignment vertical="center"/>
    </xf>
    <xf numFmtId="0" fontId="0" fillId="257" borderId="0" xfId="0" applyFill="1">
      <alignment vertical="center"/>
    </xf>
    <xf numFmtId="0" fontId="0" fillId="258" borderId="0" xfId="0" applyFill="1">
      <alignment vertical="center"/>
    </xf>
    <xf numFmtId="0" fontId="0" fillId="259" borderId="0" xfId="0" applyFill="1">
      <alignment vertical="center"/>
    </xf>
    <xf numFmtId="0" fontId="0" fillId="260" borderId="0" xfId="0" applyFill="1">
      <alignment vertical="center"/>
    </xf>
    <xf numFmtId="0" fontId="0" fillId="261" borderId="0" xfId="0" applyFill="1">
      <alignment vertical="center"/>
    </xf>
    <xf numFmtId="0" fontId="0" fillId="262" borderId="0" xfId="0" applyFill="1">
      <alignment vertical="center"/>
    </xf>
    <xf numFmtId="0" fontId="0" fillId="263" borderId="0" xfId="0" applyFill="1">
      <alignment vertical="center"/>
    </xf>
    <xf numFmtId="0" fontId="0" fillId="264" borderId="0" xfId="0" applyFill="1">
      <alignment vertical="center"/>
    </xf>
    <xf numFmtId="0" fontId="0" fillId="265" borderId="0" xfId="0" applyFill="1">
      <alignment vertical="center"/>
    </xf>
    <xf numFmtId="0" fontId="0" fillId="266" borderId="0" xfId="0" applyFill="1">
      <alignment vertical="center"/>
    </xf>
    <xf numFmtId="0" fontId="0" fillId="267" borderId="0" xfId="0" applyFill="1">
      <alignment vertical="center"/>
    </xf>
    <xf numFmtId="0" fontId="0" fillId="268" borderId="0" xfId="0" applyFill="1">
      <alignment vertical="center"/>
    </xf>
    <xf numFmtId="0" fontId="0" fillId="269" borderId="0" xfId="0" applyFill="1">
      <alignment vertical="center"/>
    </xf>
    <xf numFmtId="0" fontId="0" fillId="270" borderId="0" xfId="0" applyFill="1">
      <alignment vertical="center"/>
    </xf>
    <xf numFmtId="0" fontId="0" fillId="271" borderId="0" xfId="0" applyFill="1">
      <alignment vertical="center"/>
    </xf>
    <xf numFmtId="0" fontId="0" fillId="272" borderId="0" xfId="0" applyFill="1">
      <alignment vertical="center"/>
    </xf>
    <xf numFmtId="0" fontId="0" fillId="273" borderId="0" xfId="0" applyFill="1">
      <alignment vertical="center"/>
    </xf>
    <xf numFmtId="0" fontId="0" fillId="274" borderId="0" xfId="0" applyFill="1">
      <alignment vertical="center"/>
    </xf>
    <xf numFmtId="0" fontId="0" fillId="275" borderId="0" xfId="0" applyFill="1">
      <alignment vertical="center"/>
    </xf>
    <xf numFmtId="0" fontId="0" fillId="276" borderId="0" xfId="0" applyFill="1">
      <alignment vertical="center"/>
    </xf>
    <xf numFmtId="0" fontId="0" fillId="277" borderId="0" xfId="0" applyFill="1">
      <alignment vertical="center"/>
    </xf>
    <xf numFmtId="0" fontId="0" fillId="278" borderId="0" xfId="0" applyFill="1">
      <alignment vertical="center"/>
    </xf>
    <xf numFmtId="0" fontId="0" fillId="279" borderId="0" xfId="0" applyFill="1">
      <alignment vertical="center"/>
    </xf>
    <xf numFmtId="0" fontId="0" fillId="280" borderId="0" xfId="0" applyFill="1">
      <alignment vertical="center"/>
    </xf>
    <xf numFmtId="0" fontId="0" fillId="281" borderId="0" xfId="0" applyFill="1">
      <alignment vertical="center"/>
    </xf>
    <xf numFmtId="0" fontId="0" fillId="282" borderId="0" xfId="0" applyFill="1">
      <alignment vertical="center"/>
    </xf>
    <xf numFmtId="0" fontId="0" fillId="283" borderId="0" xfId="0" applyFill="1">
      <alignment vertical="center"/>
    </xf>
    <xf numFmtId="0" fontId="0" fillId="284" borderId="0" xfId="0" applyFill="1">
      <alignment vertical="center"/>
    </xf>
    <xf numFmtId="0" fontId="0" fillId="285" borderId="0" xfId="0" applyFill="1">
      <alignment vertical="center"/>
    </xf>
    <xf numFmtId="0" fontId="0" fillId="286" borderId="0" xfId="0" applyFill="1">
      <alignment vertical="center"/>
    </xf>
    <xf numFmtId="0" fontId="0" fillId="287" borderId="0" xfId="0" applyFill="1">
      <alignment vertical="center"/>
    </xf>
    <xf numFmtId="0" fontId="0" fillId="288" borderId="0" xfId="0" applyFill="1">
      <alignment vertical="center"/>
    </xf>
    <xf numFmtId="0" fontId="0" fillId="289" borderId="0" xfId="0" applyFill="1">
      <alignment vertical="center"/>
    </xf>
    <xf numFmtId="0" fontId="0" fillId="290" borderId="0" xfId="0" applyFill="1">
      <alignment vertical="center"/>
    </xf>
    <xf numFmtId="0" fontId="0" fillId="291" borderId="0" xfId="0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0" fillId="294" borderId="0" xfId="0" applyFill="1">
      <alignment vertical="center"/>
    </xf>
    <xf numFmtId="0" fontId="0" fillId="295" borderId="0" xfId="0" applyFill="1">
      <alignment vertical="center"/>
    </xf>
    <xf numFmtId="0" fontId="0" fillId="296" borderId="0" xfId="0" applyFill="1">
      <alignment vertical="center"/>
    </xf>
    <xf numFmtId="0" fontId="0" fillId="297" borderId="0" xfId="0" applyFill="1">
      <alignment vertical="center"/>
    </xf>
    <xf numFmtId="0" fontId="0" fillId="298" borderId="0" xfId="0" applyFill="1">
      <alignment vertical="center"/>
    </xf>
    <xf numFmtId="0" fontId="0" fillId="299" borderId="0" xfId="0" applyFill="1">
      <alignment vertical="center"/>
    </xf>
    <xf numFmtId="0" fontId="0" fillId="300" borderId="0" xfId="0" applyFill="1">
      <alignment vertical="center"/>
    </xf>
    <xf numFmtId="0" fontId="0" fillId="301" borderId="0" xfId="0" applyFill="1">
      <alignment vertical="center"/>
    </xf>
    <xf numFmtId="0" fontId="0" fillId="302" borderId="0" xfId="0" applyFill="1">
      <alignment vertical="center"/>
    </xf>
    <xf numFmtId="0" fontId="0" fillId="303" borderId="0" xfId="0" applyFill="1">
      <alignment vertical="center"/>
    </xf>
    <xf numFmtId="0" fontId="0" fillId="304" borderId="0" xfId="0" applyFill="1">
      <alignment vertical="center"/>
    </xf>
    <xf numFmtId="0" fontId="0" fillId="305" borderId="0" xfId="0" applyFill="1">
      <alignment vertical="center"/>
    </xf>
    <xf numFmtId="0" fontId="0" fillId="306" borderId="0" xfId="0" applyFill="1">
      <alignment vertical="center"/>
    </xf>
    <xf numFmtId="0" fontId="0" fillId="307" borderId="0" xfId="0" applyFill="1">
      <alignment vertical="center"/>
    </xf>
    <xf numFmtId="0" fontId="0" fillId="308" borderId="0" xfId="0" applyFill="1">
      <alignment vertical="center"/>
    </xf>
    <xf numFmtId="0" fontId="0" fillId="309" borderId="0" xfId="0" applyFill="1">
      <alignment vertical="center"/>
    </xf>
    <xf numFmtId="0" fontId="0" fillId="310" borderId="0" xfId="0" applyFill="1">
      <alignment vertical="center"/>
    </xf>
    <xf numFmtId="0" fontId="0" fillId="311" borderId="0" xfId="0" applyFill="1">
      <alignment vertical="center"/>
    </xf>
    <xf numFmtId="0" fontId="0" fillId="312" borderId="0" xfId="0" applyFill="1">
      <alignment vertical="center"/>
    </xf>
    <xf numFmtId="0" fontId="0" fillId="313" borderId="0" xfId="0" applyFill="1">
      <alignment vertical="center"/>
    </xf>
    <xf numFmtId="0" fontId="0" fillId="314" borderId="0" xfId="0" applyFill="1">
      <alignment vertical="center"/>
    </xf>
    <xf numFmtId="0" fontId="0" fillId="315" borderId="0" xfId="0" applyFill="1">
      <alignment vertical="center"/>
    </xf>
    <xf numFmtId="0" fontId="0" fillId="316" borderId="0" xfId="0" applyFill="1">
      <alignment vertical="center"/>
    </xf>
    <xf numFmtId="0" fontId="0" fillId="317" borderId="0" xfId="0" applyFill="1">
      <alignment vertical="center"/>
    </xf>
    <xf numFmtId="0" fontId="0" fillId="318" borderId="0" xfId="0" applyFill="1">
      <alignment vertical="center"/>
    </xf>
    <xf numFmtId="0" fontId="0" fillId="319" borderId="0" xfId="0" applyFill="1">
      <alignment vertical="center"/>
    </xf>
    <xf numFmtId="0" fontId="0" fillId="320" borderId="0" xfId="0" applyFill="1">
      <alignment vertical="center"/>
    </xf>
    <xf numFmtId="0" fontId="0" fillId="321" borderId="0" xfId="0" applyFill="1">
      <alignment vertical="center"/>
    </xf>
    <xf numFmtId="0" fontId="0" fillId="322" borderId="0" xfId="0" applyFill="1">
      <alignment vertical="center"/>
    </xf>
    <xf numFmtId="0" fontId="0" fillId="323" borderId="0" xfId="0" applyFill="1">
      <alignment vertical="center"/>
    </xf>
    <xf numFmtId="0" fontId="0" fillId="324" borderId="0" xfId="0" applyFill="1">
      <alignment vertical="center"/>
    </xf>
    <xf numFmtId="0" fontId="0" fillId="325" borderId="0" xfId="0" applyFill="1">
      <alignment vertical="center"/>
    </xf>
    <xf numFmtId="0" fontId="0" fillId="326" borderId="0" xfId="0" applyFill="1">
      <alignment vertical="center"/>
    </xf>
    <xf numFmtId="0" fontId="0" fillId="327" borderId="0" xfId="0" applyFill="1">
      <alignment vertical="center"/>
    </xf>
    <xf numFmtId="0" fontId="0" fillId="328" borderId="0" xfId="0" applyFill="1">
      <alignment vertical="center"/>
    </xf>
    <xf numFmtId="0" fontId="0" fillId="329" borderId="0" xfId="0" applyFill="1">
      <alignment vertical="center"/>
    </xf>
    <xf numFmtId="0" fontId="0" fillId="330" borderId="0" xfId="0" applyFill="1">
      <alignment vertical="center"/>
    </xf>
    <xf numFmtId="0" fontId="0" fillId="331" borderId="0" xfId="0" applyFill="1">
      <alignment vertical="center"/>
    </xf>
    <xf numFmtId="0" fontId="0" fillId="332" borderId="0" xfId="0" applyFill="1">
      <alignment vertical="center"/>
    </xf>
    <xf numFmtId="0" fontId="0" fillId="333" borderId="0" xfId="0" applyFill="1">
      <alignment vertical="center"/>
    </xf>
    <xf numFmtId="0" fontId="0" fillId="334" borderId="0" xfId="0" applyFill="1">
      <alignment vertical="center"/>
    </xf>
    <xf numFmtId="0" fontId="0" fillId="335" borderId="0" xfId="0" applyFill="1">
      <alignment vertical="center"/>
    </xf>
    <xf numFmtId="0" fontId="0" fillId="336" borderId="0" xfId="0" applyFill="1">
      <alignment vertical="center"/>
    </xf>
    <xf numFmtId="0" fontId="0" fillId="337" borderId="0" xfId="0" applyFill="1">
      <alignment vertical="center"/>
    </xf>
    <xf numFmtId="0" fontId="0" fillId="338" borderId="0" xfId="0" applyFill="1">
      <alignment vertical="center"/>
    </xf>
    <xf numFmtId="0" fontId="0" fillId="339" borderId="0" xfId="0" applyFill="1">
      <alignment vertical="center"/>
    </xf>
    <xf numFmtId="0" fontId="0" fillId="340" borderId="0" xfId="0" applyFill="1">
      <alignment vertical="center"/>
    </xf>
    <xf numFmtId="0" fontId="0" fillId="341" borderId="0" xfId="0" applyFill="1">
      <alignment vertical="center"/>
    </xf>
    <xf numFmtId="0" fontId="0" fillId="342" borderId="0" xfId="0" applyFill="1">
      <alignment vertical="center"/>
    </xf>
    <xf numFmtId="0" fontId="0" fillId="343" borderId="0" xfId="0" applyFill="1">
      <alignment vertical="center"/>
    </xf>
    <xf numFmtId="0" fontId="0" fillId="344" borderId="0" xfId="0" applyFill="1">
      <alignment vertical="center"/>
    </xf>
    <xf numFmtId="0" fontId="0" fillId="345" borderId="0" xfId="0" applyFill="1">
      <alignment vertical="center"/>
    </xf>
    <xf numFmtId="0" fontId="0" fillId="346" borderId="0" xfId="0" applyFill="1">
      <alignment vertical="center"/>
    </xf>
    <xf numFmtId="0" fontId="0" fillId="347" borderId="0" xfId="0" applyFill="1">
      <alignment vertical="center"/>
    </xf>
    <xf numFmtId="0" fontId="0" fillId="348" borderId="0" xfId="0" applyFill="1">
      <alignment vertical="center"/>
    </xf>
    <xf numFmtId="0" fontId="0" fillId="349" borderId="0" xfId="0" applyFill="1">
      <alignment vertical="center"/>
    </xf>
    <xf numFmtId="0" fontId="0" fillId="350" borderId="0" xfId="0" applyFill="1">
      <alignment vertical="center"/>
    </xf>
    <xf numFmtId="0" fontId="0" fillId="351" borderId="0" xfId="0" applyFill="1">
      <alignment vertical="center"/>
    </xf>
    <xf numFmtId="0" fontId="0" fillId="352" borderId="0" xfId="0" applyFill="1">
      <alignment vertical="center"/>
    </xf>
    <xf numFmtId="0" fontId="0" fillId="353" borderId="0" xfId="0" applyFill="1">
      <alignment vertical="center"/>
    </xf>
    <xf numFmtId="0" fontId="0" fillId="354" borderId="0" xfId="0" applyFill="1">
      <alignment vertical="center"/>
    </xf>
    <xf numFmtId="0" fontId="0" fillId="355" borderId="0" xfId="0" applyFill="1">
      <alignment vertical="center"/>
    </xf>
    <xf numFmtId="0" fontId="0" fillId="356" borderId="0" xfId="0" applyFill="1">
      <alignment vertical="center"/>
    </xf>
    <xf numFmtId="0" fontId="0" fillId="357" borderId="0" xfId="0" applyFill="1">
      <alignment vertical="center"/>
    </xf>
    <xf numFmtId="0" fontId="0" fillId="358" borderId="0" xfId="0" applyFill="1">
      <alignment vertical="center"/>
    </xf>
    <xf numFmtId="0" fontId="0" fillId="359" borderId="0" xfId="0" applyFill="1">
      <alignment vertical="center"/>
    </xf>
    <xf numFmtId="0" fontId="0" fillId="360" borderId="0" xfId="0" applyFill="1">
      <alignment vertical="center"/>
    </xf>
    <xf numFmtId="0" fontId="0" fillId="361" borderId="0" xfId="0" applyFill="1">
      <alignment vertical="center"/>
    </xf>
    <xf numFmtId="0" fontId="0" fillId="362" borderId="0" xfId="0" applyFill="1">
      <alignment vertical="center"/>
    </xf>
    <xf numFmtId="0" fontId="0" fillId="363" borderId="0" xfId="0" applyFill="1">
      <alignment vertical="center"/>
    </xf>
    <xf numFmtId="0" fontId="0" fillId="364" borderId="0" xfId="0" applyFill="1">
      <alignment vertical="center"/>
    </xf>
    <xf numFmtId="0" fontId="0" fillId="365" borderId="0" xfId="0" applyFill="1">
      <alignment vertical="center"/>
    </xf>
    <xf numFmtId="0" fontId="0" fillId="366" borderId="0" xfId="0" applyFill="1">
      <alignment vertical="center"/>
    </xf>
    <xf numFmtId="0" fontId="0" fillId="367" borderId="0" xfId="0" applyFill="1">
      <alignment vertical="center"/>
    </xf>
    <xf numFmtId="0" fontId="0" fillId="368" borderId="0" xfId="0" applyFill="1">
      <alignment vertical="center"/>
    </xf>
    <xf numFmtId="0" fontId="0" fillId="369" borderId="0" xfId="0" applyFill="1">
      <alignment vertical="center"/>
    </xf>
    <xf numFmtId="0" fontId="0" fillId="370" borderId="0" xfId="0" applyFill="1">
      <alignment vertical="center"/>
    </xf>
    <xf numFmtId="0" fontId="0" fillId="371" borderId="0" xfId="0" applyFill="1">
      <alignment vertical="center"/>
    </xf>
    <xf numFmtId="0" fontId="0" fillId="372" borderId="0" xfId="0" applyFill="1">
      <alignment vertical="center"/>
    </xf>
    <xf numFmtId="0" fontId="0" fillId="373" borderId="0" xfId="0" applyFill="1">
      <alignment vertical="center"/>
    </xf>
    <xf numFmtId="0" fontId="0" fillId="374" borderId="0" xfId="0" applyFill="1">
      <alignment vertical="center"/>
    </xf>
    <xf numFmtId="0" fontId="0" fillId="375" borderId="0" xfId="0" applyFill="1">
      <alignment vertical="center"/>
    </xf>
    <xf numFmtId="0" fontId="0" fillId="376" borderId="0" xfId="0" applyFill="1">
      <alignment vertical="center"/>
    </xf>
    <xf numFmtId="0" fontId="0" fillId="377" borderId="0" xfId="0" applyFill="1">
      <alignment vertical="center"/>
    </xf>
    <xf numFmtId="0" fontId="0" fillId="378" borderId="0" xfId="0" applyFill="1">
      <alignment vertical="center"/>
    </xf>
    <xf numFmtId="0" fontId="0" fillId="379" borderId="0" xfId="0" applyFill="1">
      <alignment vertical="center"/>
    </xf>
    <xf numFmtId="0" fontId="0" fillId="380" borderId="0" xfId="0" applyFill="1">
      <alignment vertical="center"/>
    </xf>
    <xf numFmtId="0" fontId="0" fillId="381" borderId="0" xfId="0" applyFill="1">
      <alignment vertical="center"/>
    </xf>
    <xf numFmtId="0" fontId="0" fillId="382" borderId="0" xfId="0" applyFill="1">
      <alignment vertical="center"/>
    </xf>
    <xf numFmtId="0" fontId="0" fillId="383" borderId="0" xfId="0" applyFill="1">
      <alignment vertical="center"/>
    </xf>
    <xf numFmtId="0" fontId="0" fillId="384" borderId="0" xfId="0" applyFill="1">
      <alignment vertical="center"/>
    </xf>
    <xf numFmtId="0" fontId="0" fillId="385" borderId="0" xfId="0" applyFill="1">
      <alignment vertical="center"/>
    </xf>
    <xf numFmtId="0" fontId="0" fillId="386" borderId="0" xfId="0" applyFill="1">
      <alignment vertical="center"/>
    </xf>
    <xf numFmtId="0" fontId="0" fillId="387" borderId="0" xfId="0" applyFill="1">
      <alignment vertical="center"/>
    </xf>
    <xf numFmtId="0" fontId="0" fillId="388" borderId="0" xfId="0" applyFill="1">
      <alignment vertical="center"/>
    </xf>
    <xf numFmtId="0" fontId="0" fillId="389" borderId="0" xfId="0" applyFill="1">
      <alignment vertical="center"/>
    </xf>
    <xf numFmtId="0" fontId="0" fillId="390" borderId="0" xfId="0" applyFill="1">
      <alignment vertical="center"/>
    </xf>
    <xf numFmtId="0" fontId="0" fillId="391" borderId="0" xfId="0" applyFill="1">
      <alignment vertical="center"/>
    </xf>
    <xf numFmtId="0" fontId="0" fillId="392" borderId="0" xfId="0" applyFill="1">
      <alignment vertical="center"/>
    </xf>
    <xf numFmtId="0" fontId="0" fillId="393" borderId="0" xfId="0" applyFill="1">
      <alignment vertical="center"/>
    </xf>
    <xf numFmtId="0" fontId="0" fillId="394" borderId="0" xfId="0" applyFill="1">
      <alignment vertical="center"/>
    </xf>
    <xf numFmtId="0" fontId="0" fillId="395" borderId="0" xfId="0" applyFill="1">
      <alignment vertical="center"/>
    </xf>
    <xf numFmtId="0" fontId="0" fillId="396" borderId="0" xfId="0" applyFill="1">
      <alignment vertical="center"/>
    </xf>
    <xf numFmtId="0" fontId="0" fillId="397" borderId="0" xfId="0" applyFill="1">
      <alignment vertical="center"/>
    </xf>
    <xf numFmtId="0" fontId="0" fillId="398" borderId="0" xfId="0" applyFill="1">
      <alignment vertical="center"/>
    </xf>
    <xf numFmtId="0" fontId="0" fillId="399" borderId="0" xfId="0" applyFill="1">
      <alignment vertical="center"/>
    </xf>
    <xf numFmtId="0" fontId="0" fillId="400" borderId="0" xfId="0" applyFill="1">
      <alignment vertical="center"/>
    </xf>
    <xf numFmtId="0" fontId="0" fillId="401" borderId="0" xfId="0" applyFill="1">
      <alignment vertical="center"/>
    </xf>
    <xf numFmtId="0" fontId="0" fillId="402" borderId="0" xfId="0" applyFill="1">
      <alignment vertical="center"/>
    </xf>
    <xf numFmtId="0" fontId="0" fillId="403" borderId="0" xfId="0" applyFill="1">
      <alignment vertical="center"/>
    </xf>
    <xf numFmtId="0" fontId="0" fillId="404" borderId="0" xfId="0" applyFill="1">
      <alignment vertical="center"/>
    </xf>
    <xf numFmtId="0" fontId="0" fillId="405" borderId="0" xfId="0" applyFill="1">
      <alignment vertical="center"/>
    </xf>
    <xf numFmtId="0" fontId="0" fillId="406" borderId="0" xfId="0" applyFill="1">
      <alignment vertical="center"/>
    </xf>
    <xf numFmtId="0" fontId="0" fillId="407" borderId="0" xfId="0" applyFill="1">
      <alignment vertical="center"/>
    </xf>
    <xf numFmtId="0" fontId="0" fillId="408" borderId="0" xfId="0" applyFill="1">
      <alignment vertical="center"/>
    </xf>
    <xf numFmtId="0" fontId="0" fillId="409" borderId="0" xfId="0" applyFill="1">
      <alignment vertical="center"/>
    </xf>
    <xf numFmtId="0" fontId="0" fillId="410" borderId="0" xfId="0" applyFill="1">
      <alignment vertical="center"/>
    </xf>
    <xf numFmtId="0" fontId="0" fillId="411" borderId="0" xfId="0" applyFill="1">
      <alignment vertical="center"/>
    </xf>
    <xf numFmtId="0" fontId="0" fillId="412" borderId="0" xfId="0" applyFill="1">
      <alignment vertical="center"/>
    </xf>
    <xf numFmtId="0" fontId="0" fillId="413" borderId="0" xfId="0" applyFill="1">
      <alignment vertical="center"/>
    </xf>
    <xf numFmtId="0" fontId="0" fillId="414" borderId="0" xfId="0" applyFill="1">
      <alignment vertical="center"/>
    </xf>
    <xf numFmtId="0" fontId="0" fillId="415" borderId="0" xfId="0" applyFill="1">
      <alignment vertical="center"/>
    </xf>
    <xf numFmtId="0" fontId="0" fillId="416" borderId="0" xfId="0" applyFill="1">
      <alignment vertical="center"/>
    </xf>
    <xf numFmtId="0" fontId="0" fillId="417" borderId="0" xfId="0" applyFill="1">
      <alignment vertical="center"/>
    </xf>
    <xf numFmtId="0" fontId="0" fillId="418" borderId="0" xfId="0" applyFill="1">
      <alignment vertical="center"/>
    </xf>
    <xf numFmtId="0" fontId="0" fillId="419" borderId="0" xfId="0" applyFill="1">
      <alignment vertical="center"/>
    </xf>
    <xf numFmtId="0" fontId="0" fillId="420" borderId="0" xfId="0" applyFill="1">
      <alignment vertical="center"/>
    </xf>
    <xf numFmtId="0" fontId="0" fillId="421" borderId="0" xfId="0" applyFill="1">
      <alignment vertical="center"/>
    </xf>
    <xf numFmtId="0" fontId="0" fillId="422" borderId="0" xfId="0" applyFill="1">
      <alignment vertical="center"/>
    </xf>
    <xf numFmtId="0" fontId="0" fillId="423" borderId="0" xfId="0" applyFill="1">
      <alignment vertical="center"/>
    </xf>
    <xf numFmtId="0" fontId="0" fillId="424" borderId="0" xfId="0" applyFill="1">
      <alignment vertical="center"/>
    </xf>
    <xf numFmtId="0" fontId="0" fillId="425" borderId="0" xfId="0" applyFill="1">
      <alignment vertical="center"/>
    </xf>
    <xf numFmtId="0" fontId="0" fillId="426" borderId="0" xfId="0" applyFill="1">
      <alignment vertical="center"/>
    </xf>
    <xf numFmtId="0" fontId="0" fillId="427" borderId="0" xfId="0" applyFill="1">
      <alignment vertical="center"/>
    </xf>
    <xf numFmtId="0" fontId="0" fillId="428" borderId="0" xfId="0" applyFill="1">
      <alignment vertical="center"/>
    </xf>
    <xf numFmtId="0" fontId="0" fillId="429" borderId="0" xfId="0" applyFill="1">
      <alignment vertical="center"/>
    </xf>
    <xf numFmtId="0" fontId="0" fillId="430" borderId="0" xfId="0" applyFill="1">
      <alignment vertical="center"/>
    </xf>
    <xf numFmtId="0" fontId="0" fillId="431" borderId="0" xfId="0" applyFill="1">
      <alignment vertical="center"/>
    </xf>
    <xf numFmtId="0" fontId="0" fillId="432" borderId="0" xfId="0" applyFill="1">
      <alignment vertical="center"/>
    </xf>
    <xf numFmtId="0" fontId="0" fillId="433" borderId="0" xfId="0" applyFill="1">
      <alignment vertical="center"/>
    </xf>
    <xf numFmtId="0" fontId="0" fillId="434" borderId="0" xfId="0" applyFill="1">
      <alignment vertical="center"/>
    </xf>
    <xf numFmtId="0" fontId="0" fillId="435" borderId="0" xfId="0" applyFill="1">
      <alignment vertical="center"/>
    </xf>
    <xf numFmtId="0" fontId="0" fillId="436" borderId="0" xfId="0" applyFill="1">
      <alignment vertical="center"/>
    </xf>
    <xf numFmtId="0" fontId="0" fillId="437" borderId="0" xfId="0" applyFill="1">
      <alignment vertical="center"/>
    </xf>
    <xf numFmtId="0" fontId="0" fillId="438" borderId="0" xfId="0" applyFill="1">
      <alignment vertical="center"/>
    </xf>
    <xf numFmtId="0" fontId="0" fillId="439" borderId="0" xfId="0" applyFill="1">
      <alignment vertical="center"/>
    </xf>
    <xf numFmtId="0" fontId="0" fillId="440" borderId="0" xfId="0" applyFill="1">
      <alignment vertical="center"/>
    </xf>
    <xf numFmtId="0" fontId="0" fillId="441" borderId="0" xfId="0" applyFill="1">
      <alignment vertical="center"/>
    </xf>
    <xf numFmtId="0" fontId="0" fillId="442" borderId="0" xfId="0" applyFill="1">
      <alignment vertical="center"/>
    </xf>
    <xf numFmtId="0" fontId="0" fillId="443" borderId="0" xfId="0" applyFill="1">
      <alignment vertical="center"/>
    </xf>
    <xf numFmtId="0" fontId="0" fillId="444" borderId="0" xfId="0" applyFill="1">
      <alignment vertical="center"/>
    </xf>
    <xf numFmtId="0" fontId="0" fillId="445" borderId="0" xfId="0" applyFill="1">
      <alignment vertical="center"/>
    </xf>
    <xf numFmtId="0" fontId="0" fillId="446" borderId="0" xfId="0" applyFill="1">
      <alignment vertical="center"/>
    </xf>
    <xf numFmtId="0" fontId="0" fillId="447" borderId="0" xfId="0" applyFill="1">
      <alignment vertical="center"/>
    </xf>
    <xf numFmtId="0" fontId="0" fillId="448" borderId="0" xfId="0" applyFill="1">
      <alignment vertical="center"/>
    </xf>
    <xf numFmtId="0" fontId="0" fillId="449" borderId="0" xfId="0" applyFill="1">
      <alignment vertical="center"/>
    </xf>
    <xf numFmtId="0" fontId="0" fillId="450" borderId="0" xfId="0" applyFill="1">
      <alignment vertical="center"/>
    </xf>
    <xf numFmtId="0" fontId="0" fillId="451" borderId="0" xfId="0" applyFill="1">
      <alignment vertical="center"/>
    </xf>
    <xf numFmtId="0" fontId="0" fillId="452" borderId="0" xfId="0" applyFill="1">
      <alignment vertical="center"/>
    </xf>
    <xf numFmtId="0" fontId="0" fillId="453" borderId="0" xfId="0" applyFill="1">
      <alignment vertical="center"/>
    </xf>
    <xf numFmtId="0" fontId="0" fillId="454" borderId="0" xfId="0" applyFill="1">
      <alignment vertical="center"/>
    </xf>
    <xf numFmtId="0" fontId="0" fillId="455" borderId="0" xfId="0" applyFill="1">
      <alignment vertical="center"/>
    </xf>
    <xf numFmtId="0" fontId="0" fillId="456" borderId="0" xfId="0" applyFill="1">
      <alignment vertical="center"/>
    </xf>
    <xf numFmtId="0" fontId="0" fillId="457" borderId="0" xfId="0" applyFill="1">
      <alignment vertical="center"/>
    </xf>
    <xf numFmtId="0" fontId="0" fillId="458" borderId="0" xfId="0" applyFill="1">
      <alignment vertical="center"/>
    </xf>
    <xf numFmtId="0" fontId="0" fillId="459" borderId="0" xfId="0" applyFill="1">
      <alignment vertical="center"/>
    </xf>
    <xf numFmtId="0" fontId="0" fillId="460" borderId="0" xfId="0" applyFill="1">
      <alignment vertical="center"/>
    </xf>
    <xf numFmtId="0" fontId="0" fillId="461" borderId="0" xfId="0" applyFill="1">
      <alignment vertical="center"/>
    </xf>
    <xf numFmtId="0" fontId="0" fillId="462" borderId="0" xfId="0" applyFill="1">
      <alignment vertical="center"/>
    </xf>
    <xf numFmtId="0" fontId="0" fillId="463" borderId="0" xfId="0" applyFill="1">
      <alignment vertical="center"/>
    </xf>
    <xf numFmtId="0" fontId="0" fillId="464" borderId="0" xfId="0" applyFill="1">
      <alignment vertical="center"/>
    </xf>
    <xf numFmtId="0" fontId="0" fillId="465" borderId="0" xfId="0" applyFill="1">
      <alignment vertical="center"/>
    </xf>
    <xf numFmtId="0" fontId="0" fillId="466" borderId="0" xfId="0" applyFill="1">
      <alignment vertical="center"/>
    </xf>
    <xf numFmtId="0" fontId="0" fillId="467" borderId="0" xfId="0" applyFill="1">
      <alignment vertical="center"/>
    </xf>
    <xf numFmtId="0" fontId="0" fillId="468" borderId="0" xfId="0" applyFill="1">
      <alignment vertical="center"/>
    </xf>
    <xf numFmtId="0" fontId="0" fillId="469" borderId="0" xfId="0" applyFill="1">
      <alignment vertical="center"/>
    </xf>
    <xf numFmtId="0" fontId="0" fillId="470" borderId="0" xfId="0" applyFill="1">
      <alignment vertical="center"/>
    </xf>
    <xf numFmtId="0" fontId="0" fillId="471" borderId="0" xfId="0" applyFill="1">
      <alignment vertical="center"/>
    </xf>
    <xf numFmtId="0" fontId="0" fillId="472" borderId="0" xfId="0" applyFill="1">
      <alignment vertical="center"/>
    </xf>
    <xf numFmtId="0" fontId="0" fillId="473" borderId="0" xfId="0" applyFill="1">
      <alignment vertical="center"/>
    </xf>
    <xf numFmtId="0" fontId="0" fillId="474" borderId="0" xfId="0" applyFill="1">
      <alignment vertical="center"/>
    </xf>
    <xf numFmtId="0" fontId="0" fillId="475" borderId="0" xfId="0" applyFill="1">
      <alignment vertical="center"/>
    </xf>
    <xf numFmtId="0" fontId="0" fillId="476" borderId="0" xfId="0" applyFill="1">
      <alignment vertical="center"/>
    </xf>
    <xf numFmtId="0" fontId="0" fillId="477" borderId="0" xfId="0" applyFill="1">
      <alignment vertical="center"/>
    </xf>
    <xf numFmtId="0" fontId="0" fillId="478" borderId="0" xfId="0" applyFill="1">
      <alignment vertical="center"/>
    </xf>
    <xf numFmtId="0" fontId="0" fillId="479" borderId="0" xfId="0" applyFill="1">
      <alignment vertical="center"/>
    </xf>
    <xf numFmtId="0" fontId="0" fillId="480" borderId="0" xfId="0" applyFill="1">
      <alignment vertical="center"/>
    </xf>
    <xf numFmtId="0" fontId="0" fillId="481" borderId="0" xfId="0" applyFill="1">
      <alignment vertical="center"/>
    </xf>
    <xf numFmtId="0" fontId="0" fillId="482" borderId="0" xfId="0" applyFill="1">
      <alignment vertical="center"/>
    </xf>
    <xf numFmtId="0" fontId="0" fillId="483" borderId="0" xfId="0" applyFill="1">
      <alignment vertical="center"/>
    </xf>
    <xf numFmtId="0" fontId="0" fillId="484" borderId="0" xfId="0" applyFill="1">
      <alignment vertical="center"/>
    </xf>
    <xf numFmtId="0" fontId="0" fillId="485" borderId="0" xfId="0" applyFill="1">
      <alignment vertical="center"/>
    </xf>
    <xf numFmtId="0" fontId="0" fillId="486" borderId="0" xfId="0" applyFill="1">
      <alignment vertical="center"/>
    </xf>
    <xf numFmtId="0" fontId="0" fillId="487" borderId="0" xfId="0" applyFill="1">
      <alignment vertical="center"/>
    </xf>
    <xf numFmtId="0" fontId="0" fillId="488" borderId="0" xfId="0" applyFill="1">
      <alignment vertical="center"/>
    </xf>
    <xf numFmtId="0" fontId="0" fillId="489" borderId="0" xfId="0" applyFill="1">
      <alignment vertical="center"/>
    </xf>
    <xf numFmtId="0" fontId="0" fillId="490" borderId="0" xfId="0" applyFill="1">
      <alignment vertical="center"/>
    </xf>
    <xf numFmtId="0" fontId="0" fillId="491" borderId="0" xfId="0" applyFill="1">
      <alignment vertical="center"/>
    </xf>
    <xf numFmtId="0" fontId="0" fillId="492" borderId="0" xfId="0" applyFill="1">
      <alignment vertical="center"/>
    </xf>
    <xf numFmtId="0" fontId="0" fillId="493" borderId="0" xfId="0" applyFill="1">
      <alignment vertical="center"/>
    </xf>
    <xf numFmtId="0" fontId="0" fillId="494" borderId="0" xfId="0" applyFill="1">
      <alignment vertical="center"/>
    </xf>
    <xf numFmtId="0" fontId="0" fillId="495" borderId="0" xfId="0" applyFill="1">
      <alignment vertical="center"/>
    </xf>
    <xf numFmtId="0" fontId="0" fillId="496" borderId="0" xfId="0" applyFill="1">
      <alignment vertical="center"/>
    </xf>
    <xf numFmtId="0" fontId="0" fillId="497" borderId="0" xfId="0" applyFill="1">
      <alignment vertical="center"/>
    </xf>
    <xf numFmtId="0" fontId="0" fillId="498" borderId="0" xfId="0" applyFill="1">
      <alignment vertical="center"/>
    </xf>
    <xf numFmtId="0" fontId="0" fillId="499" borderId="0" xfId="0" applyFill="1">
      <alignment vertical="center"/>
    </xf>
    <xf numFmtId="0" fontId="0" fillId="500" borderId="0" xfId="0" applyFill="1">
      <alignment vertical="center"/>
    </xf>
    <xf numFmtId="0" fontId="0" fillId="501" borderId="0" xfId="0" applyFill="1">
      <alignment vertical="center"/>
    </xf>
    <xf numFmtId="0" fontId="0" fillId="502" borderId="0" xfId="0" applyFill="1">
      <alignment vertical="center"/>
    </xf>
    <xf numFmtId="0" fontId="0" fillId="503" borderId="0" xfId="0" applyFill="1">
      <alignment vertical="center"/>
    </xf>
    <xf numFmtId="0" fontId="0" fillId="504" borderId="0" xfId="0" applyFill="1">
      <alignment vertical="center"/>
    </xf>
    <xf numFmtId="0" fontId="0" fillId="505" borderId="0" xfId="0" applyFill="1">
      <alignment vertical="center"/>
    </xf>
    <xf numFmtId="0" fontId="0" fillId="506" borderId="0" xfId="0" applyFill="1">
      <alignment vertical="center"/>
    </xf>
    <xf numFmtId="0" fontId="0" fillId="507" borderId="0" xfId="0" applyFill="1">
      <alignment vertical="center"/>
    </xf>
    <xf numFmtId="0" fontId="0" fillId="508" borderId="0" xfId="0" applyFill="1">
      <alignment vertical="center"/>
    </xf>
    <xf numFmtId="0" fontId="0" fillId="509" borderId="0" xfId="0" applyFill="1">
      <alignment vertical="center"/>
    </xf>
    <xf numFmtId="0" fontId="0" fillId="510" borderId="0" xfId="0" applyFill="1">
      <alignment vertical="center"/>
    </xf>
    <xf numFmtId="0" fontId="0" fillId="511" borderId="0" xfId="0" applyFill="1">
      <alignment vertical="center"/>
    </xf>
    <xf numFmtId="0" fontId="0" fillId="512" borderId="0" xfId="0" applyFill="1">
      <alignment vertical="center"/>
    </xf>
    <xf numFmtId="0" fontId="0" fillId="513" borderId="0" xfId="0" applyFill="1">
      <alignment vertical="center"/>
    </xf>
    <xf numFmtId="0" fontId="0" fillId="514" borderId="0" xfId="0" applyFill="1">
      <alignment vertical="center"/>
    </xf>
    <xf numFmtId="0" fontId="0" fillId="515" borderId="0" xfId="0" applyFill="1">
      <alignment vertical="center"/>
    </xf>
    <xf numFmtId="0" fontId="0" fillId="516" borderId="0" xfId="0" applyFill="1">
      <alignment vertical="center"/>
    </xf>
    <xf numFmtId="0" fontId="0" fillId="517" borderId="0" xfId="0" applyFill="1">
      <alignment vertical="center"/>
    </xf>
    <xf numFmtId="0" fontId="0" fillId="518" borderId="0" xfId="0" applyFill="1">
      <alignment vertical="center"/>
    </xf>
    <xf numFmtId="0" fontId="0" fillId="519" borderId="0" xfId="0" applyFill="1">
      <alignment vertical="center"/>
    </xf>
    <xf numFmtId="0" fontId="0" fillId="520" borderId="0" xfId="0" applyFill="1">
      <alignment vertical="center"/>
    </xf>
    <xf numFmtId="0" fontId="0" fillId="521" borderId="0" xfId="0" applyFill="1">
      <alignment vertical="center"/>
    </xf>
    <xf numFmtId="0" fontId="0" fillId="522" borderId="0" xfId="0" applyFill="1">
      <alignment vertical="center"/>
    </xf>
    <xf numFmtId="0" fontId="0" fillId="523" borderId="0" xfId="0" applyFill="1">
      <alignment vertical="center"/>
    </xf>
    <xf numFmtId="0" fontId="0" fillId="524" borderId="0" xfId="0" applyFill="1">
      <alignment vertical="center"/>
    </xf>
    <xf numFmtId="0" fontId="0" fillId="525" borderId="0" xfId="0" applyFill="1">
      <alignment vertical="center"/>
    </xf>
    <xf numFmtId="0" fontId="0" fillId="526" borderId="0" xfId="0" applyFill="1">
      <alignment vertical="center"/>
    </xf>
    <xf numFmtId="0" fontId="0" fillId="527" borderId="0" xfId="0" applyFill="1">
      <alignment vertical="center"/>
    </xf>
    <xf numFmtId="0" fontId="0" fillId="528" borderId="0" xfId="0" applyFill="1">
      <alignment vertical="center"/>
    </xf>
    <xf numFmtId="0" fontId="0" fillId="529" borderId="0" xfId="0" applyFill="1">
      <alignment vertical="center"/>
    </xf>
    <xf numFmtId="0" fontId="0" fillId="530" borderId="0" xfId="0" applyFill="1">
      <alignment vertical="center"/>
    </xf>
    <xf numFmtId="0" fontId="0" fillId="531" borderId="0" xfId="0" applyFill="1">
      <alignment vertical="center"/>
    </xf>
    <xf numFmtId="0" fontId="0" fillId="532" borderId="0" xfId="0" applyFill="1">
      <alignment vertical="center"/>
    </xf>
    <xf numFmtId="0" fontId="0" fillId="533" borderId="0" xfId="0" applyFill="1">
      <alignment vertical="center"/>
    </xf>
    <xf numFmtId="0" fontId="0" fillId="534" borderId="0" xfId="0" applyFill="1">
      <alignment vertical="center"/>
    </xf>
    <xf numFmtId="0" fontId="0" fillId="535" borderId="0" xfId="0" applyFill="1">
      <alignment vertical="center"/>
    </xf>
    <xf numFmtId="0" fontId="0" fillId="536" borderId="0" xfId="0" applyFill="1">
      <alignment vertical="center"/>
    </xf>
    <xf numFmtId="0" fontId="0" fillId="537" borderId="0" xfId="0" applyFill="1">
      <alignment vertical="center"/>
    </xf>
    <xf numFmtId="0" fontId="0" fillId="538" borderId="0" xfId="0" applyFill="1">
      <alignment vertical="center"/>
    </xf>
    <xf numFmtId="0" fontId="0" fillId="539" borderId="0" xfId="0" applyFill="1">
      <alignment vertical="center"/>
    </xf>
    <xf numFmtId="0" fontId="0" fillId="540" borderId="0" xfId="0" applyFill="1">
      <alignment vertical="center"/>
    </xf>
    <xf numFmtId="0" fontId="0" fillId="541" borderId="0" xfId="0" applyFill="1">
      <alignment vertical="center"/>
    </xf>
    <xf numFmtId="0" fontId="0" fillId="542" borderId="0" xfId="0" applyFill="1">
      <alignment vertical="center"/>
    </xf>
    <xf numFmtId="0" fontId="0" fillId="543" borderId="0" xfId="0" applyFill="1">
      <alignment vertical="center"/>
    </xf>
    <xf numFmtId="0" fontId="0" fillId="544" borderId="0" xfId="0" applyFill="1">
      <alignment vertical="center"/>
    </xf>
    <xf numFmtId="0" fontId="0" fillId="545" borderId="0" xfId="0" applyFill="1">
      <alignment vertical="center"/>
    </xf>
    <xf numFmtId="0" fontId="0" fillId="546" borderId="0" xfId="0" applyFill="1">
      <alignment vertical="center"/>
    </xf>
    <xf numFmtId="0" fontId="0" fillId="547" borderId="0" xfId="0" applyFill="1">
      <alignment vertical="center"/>
    </xf>
    <xf numFmtId="0" fontId="0" fillId="548" borderId="0" xfId="0" applyFill="1">
      <alignment vertical="center"/>
    </xf>
    <xf numFmtId="0" fontId="0" fillId="549" borderId="0" xfId="0" applyFill="1">
      <alignment vertical="center"/>
    </xf>
    <xf numFmtId="0" fontId="0" fillId="550" borderId="0" xfId="0" applyFill="1">
      <alignment vertical="center"/>
    </xf>
    <xf numFmtId="0" fontId="0" fillId="551" borderId="0" xfId="0" applyFill="1">
      <alignment vertical="center"/>
    </xf>
    <xf numFmtId="0" fontId="0" fillId="552" borderId="0" xfId="0" applyFill="1">
      <alignment vertical="center"/>
    </xf>
    <xf numFmtId="0" fontId="0" fillId="553" borderId="0" xfId="0" applyFill="1">
      <alignment vertical="center"/>
    </xf>
    <xf numFmtId="0" fontId="0" fillId="554" borderId="0" xfId="0" applyFill="1">
      <alignment vertical="center"/>
    </xf>
    <xf numFmtId="0" fontId="0" fillId="555" borderId="0" xfId="0" applyFill="1">
      <alignment vertical="center"/>
    </xf>
    <xf numFmtId="0" fontId="0" fillId="556" borderId="0" xfId="0" applyFill="1">
      <alignment vertical="center"/>
    </xf>
    <xf numFmtId="0" fontId="0" fillId="557" borderId="0" xfId="0" applyFill="1">
      <alignment vertical="center"/>
    </xf>
    <xf numFmtId="0" fontId="0" fillId="558" borderId="0" xfId="0" applyFill="1">
      <alignment vertical="center"/>
    </xf>
    <xf numFmtId="0" fontId="0" fillId="559" borderId="0" xfId="0" applyFill="1">
      <alignment vertical="center"/>
    </xf>
    <xf numFmtId="0" fontId="0" fillId="560" borderId="0" xfId="0" applyFill="1">
      <alignment vertical="center"/>
    </xf>
    <xf numFmtId="0" fontId="0" fillId="561" borderId="0" xfId="0" applyFill="1">
      <alignment vertical="center"/>
    </xf>
    <xf numFmtId="0" fontId="0" fillId="562" borderId="0" xfId="0" applyFill="1">
      <alignment vertical="center"/>
    </xf>
    <xf numFmtId="0" fontId="0" fillId="563" borderId="0" xfId="0" applyFill="1">
      <alignment vertical="center"/>
    </xf>
    <xf numFmtId="0" fontId="0" fillId="564" borderId="0" xfId="0" applyFill="1">
      <alignment vertical="center"/>
    </xf>
    <xf numFmtId="0" fontId="0" fillId="565" borderId="0" xfId="0" applyFill="1">
      <alignment vertical="center"/>
    </xf>
    <xf numFmtId="0" fontId="0" fillId="566" borderId="0" xfId="0" applyFill="1">
      <alignment vertical="center"/>
    </xf>
    <xf numFmtId="0" fontId="0" fillId="567" borderId="0" xfId="0" applyFill="1">
      <alignment vertical="center"/>
    </xf>
    <xf numFmtId="0" fontId="0" fillId="568" borderId="0" xfId="0" applyFill="1">
      <alignment vertical="center"/>
    </xf>
    <xf numFmtId="0" fontId="0" fillId="569" borderId="0" xfId="0" applyFill="1">
      <alignment vertical="center"/>
    </xf>
    <xf numFmtId="0" fontId="0" fillId="570" borderId="0" xfId="0" applyFill="1">
      <alignment vertical="center"/>
    </xf>
    <xf numFmtId="0" fontId="0" fillId="571" borderId="0" xfId="0" applyFill="1">
      <alignment vertical="center"/>
    </xf>
    <xf numFmtId="0" fontId="0" fillId="572" borderId="0" xfId="0" applyFill="1">
      <alignment vertical="center"/>
    </xf>
    <xf numFmtId="0" fontId="0" fillId="573" borderId="0" xfId="0" applyFill="1">
      <alignment vertical="center"/>
    </xf>
    <xf numFmtId="0" fontId="0" fillId="574" borderId="0" xfId="0" applyFill="1">
      <alignment vertical="center"/>
    </xf>
    <xf numFmtId="0" fontId="0" fillId="575" borderId="0" xfId="0" applyFill="1">
      <alignment vertical="center"/>
    </xf>
    <xf numFmtId="0" fontId="0" fillId="576" borderId="0" xfId="0" applyFill="1">
      <alignment vertical="center"/>
    </xf>
    <xf numFmtId="0" fontId="0" fillId="577" borderId="0" xfId="0" applyFill="1">
      <alignment vertical="center"/>
    </xf>
    <xf numFmtId="0" fontId="0" fillId="578" borderId="0" xfId="0" applyFill="1">
      <alignment vertical="center"/>
    </xf>
    <xf numFmtId="0" fontId="0" fillId="579" borderId="0" xfId="0" applyFill="1">
      <alignment vertical="center"/>
    </xf>
    <xf numFmtId="0" fontId="0" fillId="580" borderId="0" xfId="0" applyFill="1">
      <alignment vertical="center"/>
    </xf>
    <xf numFmtId="0" fontId="0" fillId="581" borderId="0" xfId="0" applyFill="1">
      <alignment vertical="center"/>
    </xf>
    <xf numFmtId="0" fontId="0" fillId="582" borderId="0" xfId="0" applyFill="1">
      <alignment vertical="center"/>
    </xf>
    <xf numFmtId="0" fontId="0" fillId="583" borderId="0" xfId="0" applyFill="1">
      <alignment vertical="center"/>
    </xf>
    <xf numFmtId="0" fontId="0" fillId="584" borderId="0" xfId="0" applyFill="1">
      <alignment vertical="center"/>
    </xf>
    <xf numFmtId="0" fontId="0" fillId="585" borderId="0" xfId="0" applyFill="1">
      <alignment vertical="center"/>
    </xf>
    <xf numFmtId="0" fontId="0" fillId="586" borderId="0" xfId="0" applyFill="1">
      <alignment vertical="center"/>
    </xf>
    <xf numFmtId="0" fontId="0" fillId="587" borderId="0" xfId="0" applyFill="1">
      <alignment vertical="center"/>
    </xf>
    <xf numFmtId="0" fontId="0" fillId="588" borderId="0" xfId="0" applyFill="1">
      <alignment vertical="center"/>
    </xf>
    <xf numFmtId="0" fontId="0" fillId="589" borderId="0" xfId="0" applyFill="1">
      <alignment vertical="center"/>
    </xf>
    <xf numFmtId="0" fontId="0" fillId="590" borderId="0" xfId="0" applyFill="1">
      <alignment vertical="center"/>
    </xf>
    <xf numFmtId="0" fontId="0" fillId="591" borderId="0" xfId="0" applyFill="1">
      <alignment vertical="center"/>
    </xf>
    <xf numFmtId="0" fontId="0" fillId="592" borderId="0" xfId="0" applyFill="1">
      <alignment vertical="center"/>
    </xf>
    <xf numFmtId="0" fontId="0" fillId="593" borderId="0" xfId="0" applyFill="1">
      <alignment vertical="center"/>
    </xf>
    <xf numFmtId="0" fontId="0" fillId="594" borderId="0" xfId="0" applyFill="1">
      <alignment vertical="center"/>
    </xf>
    <xf numFmtId="0" fontId="0" fillId="595" borderId="0" xfId="0" applyFill="1">
      <alignment vertical="center"/>
    </xf>
    <xf numFmtId="0" fontId="0" fillId="596" borderId="0" xfId="0" applyFill="1">
      <alignment vertical="center"/>
    </xf>
    <xf numFmtId="0" fontId="0" fillId="597" borderId="0" xfId="0" applyFill="1">
      <alignment vertical="center"/>
    </xf>
    <xf numFmtId="0" fontId="0" fillId="598" borderId="0" xfId="0" applyFill="1">
      <alignment vertical="center"/>
    </xf>
    <xf numFmtId="0" fontId="0" fillId="599" borderId="0" xfId="0" applyFill="1">
      <alignment vertical="center"/>
    </xf>
    <xf numFmtId="0" fontId="0" fillId="600" borderId="0" xfId="0" applyFill="1">
      <alignment vertical="center"/>
    </xf>
    <xf numFmtId="0" fontId="0" fillId="601" borderId="0" xfId="0" applyFill="1">
      <alignment vertical="center"/>
    </xf>
    <xf numFmtId="0" fontId="0" fillId="602" borderId="0" xfId="0" applyFill="1">
      <alignment vertical="center"/>
    </xf>
    <xf numFmtId="0" fontId="0" fillId="603" borderId="0" xfId="0" applyFill="1">
      <alignment vertical="center"/>
    </xf>
    <xf numFmtId="0" fontId="0" fillId="604" borderId="0" xfId="0" applyFill="1">
      <alignment vertical="center"/>
    </xf>
    <xf numFmtId="0" fontId="0" fillId="605" borderId="0" xfId="0" applyFill="1">
      <alignment vertical="center"/>
    </xf>
    <xf numFmtId="0" fontId="0" fillId="606" borderId="0" xfId="0" applyFill="1">
      <alignment vertical="center"/>
    </xf>
    <xf numFmtId="0" fontId="0" fillId="607" borderId="0" xfId="0" applyFill="1">
      <alignment vertical="center"/>
    </xf>
    <xf numFmtId="0" fontId="0" fillId="608" borderId="0" xfId="0" applyFill="1">
      <alignment vertical="center"/>
    </xf>
    <xf numFmtId="0" fontId="0" fillId="609" borderId="0" xfId="0" applyFill="1">
      <alignment vertical="center"/>
    </xf>
    <xf numFmtId="0" fontId="0" fillId="610" borderId="0" xfId="0" applyFill="1">
      <alignment vertical="center"/>
    </xf>
    <xf numFmtId="0" fontId="0" fillId="611" borderId="0" xfId="0" applyFill="1">
      <alignment vertical="center"/>
    </xf>
    <xf numFmtId="0" fontId="0" fillId="612" borderId="0" xfId="0" applyFill="1">
      <alignment vertical="center"/>
    </xf>
    <xf numFmtId="0" fontId="0" fillId="613" borderId="0" xfId="0" applyFill="1">
      <alignment vertical="center"/>
    </xf>
    <xf numFmtId="0" fontId="0" fillId="614" borderId="0" xfId="0" applyFill="1">
      <alignment vertical="center"/>
    </xf>
    <xf numFmtId="0" fontId="0" fillId="615" borderId="0" xfId="0" applyFill="1">
      <alignment vertical="center"/>
    </xf>
    <xf numFmtId="0" fontId="0" fillId="616" borderId="0" xfId="0" applyFill="1">
      <alignment vertical="center"/>
    </xf>
    <xf numFmtId="0" fontId="0" fillId="617" borderId="0" xfId="0" applyFill="1">
      <alignment vertical="center"/>
    </xf>
    <xf numFmtId="0" fontId="0" fillId="618" borderId="0" xfId="0" applyFill="1">
      <alignment vertical="center"/>
    </xf>
    <xf numFmtId="0" fontId="0" fillId="619" borderId="0" xfId="0" applyFill="1">
      <alignment vertical="center"/>
    </xf>
    <xf numFmtId="0" fontId="0" fillId="620" borderId="0" xfId="0" applyFill="1">
      <alignment vertical="center"/>
    </xf>
    <xf numFmtId="0" fontId="0" fillId="621" borderId="0" xfId="0" applyFill="1">
      <alignment vertical="center"/>
    </xf>
    <xf numFmtId="0" fontId="0" fillId="622" borderId="0" xfId="0" applyFill="1">
      <alignment vertical="center"/>
    </xf>
    <xf numFmtId="0" fontId="0" fillId="623" borderId="0" xfId="0" applyFill="1">
      <alignment vertical="center"/>
    </xf>
    <xf numFmtId="0" fontId="0" fillId="624" borderId="0" xfId="0" applyFill="1">
      <alignment vertical="center"/>
    </xf>
    <xf numFmtId="0" fontId="0" fillId="625" borderId="0" xfId="0" applyFill="1">
      <alignment vertical="center"/>
    </xf>
    <xf numFmtId="0" fontId="0" fillId="626" borderId="0" xfId="0" applyFill="1">
      <alignment vertical="center"/>
    </xf>
    <xf numFmtId="0" fontId="0" fillId="627" borderId="0" xfId="0" applyFill="1">
      <alignment vertical="center"/>
    </xf>
    <xf numFmtId="0" fontId="0" fillId="628" borderId="0" xfId="0" applyFill="1">
      <alignment vertical="center"/>
    </xf>
    <xf numFmtId="0" fontId="0" fillId="629" borderId="0" xfId="0" applyFill="1">
      <alignment vertical="center"/>
    </xf>
    <xf numFmtId="0" fontId="0" fillId="630" borderId="0" xfId="0" applyFill="1">
      <alignment vertical="center"/>
    </xf>
    <xf numFmtId="0" fontId="0" fillId="631" borderId="0" xfId="0" applyFill="1">
      <alignment vertical="center"/>
    </xf>
    <xf numFmtId="0" fontId="0" fillId="632" borderId="0" xfId="0" applyFill="1">
      <alignment vertical="center"/>
    </xf>
    <xf numFmtId="0" fontId="0" fillId="633" borderId="0" xfId="0" applyFill="1">
      <alignment vertical="center"/>
    </xf>
    <xf numFmtId="0" fontId="0" fillId="634" borderId="0" xfId="0" applyFill="1">
      <alignment vertical="center"/>
    </xf>
    <xf numFmtId="0" fontId="0" fillId="635" borderId="0" xfId="0" applyFill="1">
      <alignment vertical="center"/>
    </xf>
    <xf numFmtId="0" fontId="0" fillId="636" borderId="0" xfId="0" applyFill="1">
      <alignment vertical="center"/>
    </xf>
    <xf numFmtId="0" fontId="0" fillId="637" borderId="0" xfId="0" applyFill="1">
      <alignment vertical="center"/>
    </xf>
    <xf numFmtId="0" fontId="0" fillId="638" borderId="0" xfId="0" applyFill="1">
      <alignment vertical="center"/>
    </xf>
    <xf numFmtId="0" fontId="0" fillId="639" borderId="0" xfId="0" applyFill="1">
      <alignment vertical="center"/>
    </xf>
    <xf numFmtId="0" fontId="0" fillId="640" borderId="0" xfId="0" applyFill="1">
      <alignment vertical="center"/>
    </xf>
    <xf numFmtId="0" fontId="0" fillId="641" borderId="0" xfId="0" applyFill="1">
      <alignment vertical="center"/>
    </xf>
    <xf numFmtId="0" fontId="0" fillId="642" borderId="0" xfId="0" applyFill="1">
      <alignment vertical="center"/>
    </xf>
    <xf numFmtId="0" fontId="0" fillId="643" borderId="0" xfId="0" applyFill="1">
      <alignment vertical="center"/>
    </xf>
    <xf numFmtId="0" fontId="0" fillId="644" borderId="0" xfId="0" applyFill="1">
      <alignment vertical="center"/>
    </xf>
    <xf numFmtId="0" fontId="0" fillId="645" borderId="0" xfId="0" applyFill="1">
      <alignment vertical="center"/>
    </xf>
    <xf numFmtId="0" fontId="0" fillId="646" borderId="0" xfId="0" applyFill="1">
      <alignment vertical="center"/>
    </xf>
    <xf numFmtId="0" fontId="0" fillId="647" borderId="0" xfId="0" applyFill="1">
      <alignment vertical="center"/>
    </xf>
    <xf numFmtId="0" fontId="0" fillId="648" borderId="0" xfId="0" applyFill="1">
      <alignment vertical="center"/>
    </xf>
    <xf numFmtId="0" fontId="0" fillId="649" borderId="0" xfId="0" applyFill="1">
      <alignment vertical="center"/>
    </xf>
    <xf numFmtId="0" fontId="0" fillId="650" borderId="0" xfId="0" applyFill="1">
      <alignment vertical="center"/>
    </xf>
    <xf numFmtId="0" fontId="0" fillId="651" borderId="0" xfId="0" applyFill="1">
      <alignment vertical="center"/>
    </xf>
    <xf numFmtId="0" fontId="0" fillId="652" borderId="0" xfId="0" applyFill="1">
      <alignment vertical="center"/>
    </xf>
    <xf numFmtId="0" fontId="0" fillId="653" borderId="0" xfId="0" applyFill="1">
      <alignment vertical="center"/>
    </xf>
    <xf numFmtId="0" fontId="0" fillId="654" borderId="0" xfId="0" applyFill="1">
      <alignment vertical="center"/>
    </xf>
    <xf numFmtId="0" fontId="0" fillId="655" borderId="0" xfId="0" applyFill="1">
      <alignment vertical="center"/>
    </xf>
    <xf numFmtId="0" fontId="0" fillId="656" borderId="0" xfId="0" applyFill="1">
      <alignment vertical="center"/>
    </xf>
    <xf numFmtId="0" fontId="0" fillId="657" borderId="0" xfId="0" applyFill="1">
      <alignment vertical="center"/>
    </xf>
    <xf numFmtId="0" fontId="0" fillId="658" borderId="0" xfId="0" applyFill="1">
      <alignment vertical="center"/>
    </xf>
    <xf numFmtId="0" fontId="0" fillId="659" borderId="0" xfId="0" applyFill="1">
      <alignment vertical="center"/>
    </xf>
    <xf numFmtId="0" fontId="0" fillId="660" borderId="0" xfId="0" applyFill="1">
      <alignment vertical="center"/>
    </xf>
    <xf numFmtId="0" fontId="0" fillId="661" borderId="0" xfId="0" applyFill="1">
      <alignment vertical="center"/>
    </xf>
    <xf numFmtId="0" fontId="0" fillId="662" borderId="0" xfId="0" applyFill="1">
      <alignment vertical="center"/>
    </xf>
    <xf numFmtId="0" fontId="0" fillId="663" borderId="0" xfId="0" applyFill="1">
      <alignment vertical="center"/>
    </xf>
    <xf numFmtId="0" fontId="0" fillId="664" borderId="0" xfId="0" applyFill="1">
      <alignment vertical="center"/>
    </xf>
    <xf numFmtId="0" fontId="0" fillId="665" borderId="0" xfId="0" applyFill="1">
      <alignment vertical="center"/>
    </xf>
    <xf numFmtId="0" fontId="0" fillId="666" borderId="0" xfId="0" applyFill="1">
      <alignment vertical="center"/>
    </xf>
    <xf numFmtId="0" fontId="0" fillId="667" borderId="0" xfId="0" applyFill="1">
      <alignment vertical="center"/>
    </xf>
    <xf numFmtId="0" fontId="0" fillId="668" borderId="0" xfId="0" applyFill="1">
      <alignment vertical="center"/>
    </xf>
    <xf numFmtId="0" fontId="0" fillId="669" borderId="0" xfId="0" applyFill="1">
      <alignment vertical="center"/>
    </xf>
    <xf numFmtId="0" fontId="0" fillId="670" borderId="0" xfId="0" applyFill="1">
      <alignment vertical="center"/>
    </xf>
    <xf numFmtId="0" fontId="0" fillId="671" borderId="0" xfId="0" applyFill="1">
      <alignment vertical="center"/>
    </xf>
    <xf numFmtId="0" fontId="0" fillId="672" borderId="0" xfId="0" applyFill="1">
      <alignment vertical="center"/>
    </xf>
    <xf numFmtId="0" fontId="0" fillId="673" borderId="0" xfId="0" applyFill="1">
      <alignment vertical="center"/>
    </xf>
    <xf numFmtId="0" fontId="0" fillId="674" borderId="0" xfId="0" applyFill="1">
      <alignment vertical="center"/>
    </xf>
    <xf numFmtId="0" fontId="0" fillId="675" borderId="0" xfId="0" applyFill="1">
      <alignment vertical="center"/>
    </xf>
    <xf numFmtId="0" fontId="0" fillId="676" borderId="0" xfId="0" applyFill="1">
      <alignment vertical="center"/>
    </xf>
    <xf numFmtId="0" fontId="0" fillId="677" borderId="0" xfId="0" applyFill="1">
      <alignment vertical="center"/>
    </xf>
    <xf numFmtId="0" fontId="0" fillId="678" borderId="0" xfId="0" applyFill="1">
      <alignment vertical="center"/>
    </xf>
    <xf numFmtId="0" fontId="0" fillId="679" borderId="0" xfId="0" applyFill="1">
      <alignment vertical="center"/>
    </xf>
    <xf numFmtId="0" fontId="0" fillId="680" borderId="0" xfId="0" applyFill="1">
      <alignment vertical="center"/>
    </xf>
    <xf numFmtId="0" fontId="0" fillId="681" borderId="0" xfId="0" applyFill="1">
      <alignment vertical="center"/>
    </xf>
    <xf numFmtId="0" fontId="0" fillId="682" borderId="0" xfId="0" applyFill="1">
      <alignment vertical="center"/>
    </xf>
    <xf numFmtId="0" fontId="0" fillId="683" borderId="0" xfId="0" applyFill="1">
      <alignment vertical="center"/>
    </xf>
    <xf numFmtId="0" fontId="0" fillId="684" borderId="0" xfId="0" applyFill="1">
      <alignment vertical="center"/>
    </xf>
    <xf numFmtId="0" fontId="0" fillId="685" borderId="0" xfId="0" applyFill="1">
      <alignment vertical="center"/>
    </xf>
    <xf numFmtId="0" fontId="0" fillId="686" borderId="0" xfId="0" applyFill="1">
      <alignment vertical="center"/>
    </xf>
    <xf numFmtId="0" fontId="0" fillId="687" borderId="0" xfId="0" applyFill="1">
      <alignment vertical="center"/>
    </xf>
    <xf numFmtId="0" fontId="0" fillId="688" borderId="0" xfId="0" applyFill="1">
      <alignment vertical="center"/>
    </xf>
    <xf numFmtId="0" fontId="0" fillId="689" borderId="0" xfId="0" applyFill="1">
      <alignment vertical="center"/>
    </xf>
    <xf numFmtId="0" fontId="0" fillId="690" borderId="0" xfId="0" applyFill="1">
      <alignment vertical="center"/>
    </xf>
    <xf numFmtId="0" fontId="0" fillId="691" borderId="0" xfId="0" applyFill="1">
      <alignment vertical="center"/>
    </xf>
    <xf numFmtId="0" fontId="0" fillId="692" borderId="0" xfId="0" applyFill="1">
      <alignment vertical="center"/>
    </xf>
    <xf numFmtId="0" fontId="0" fillId="693" borderId="0" xfId="0" applyFill="1">
      <alignment vertical="center"/>
    </xf>
    <xf numFmtId="0" fontId="0" fillId="694" borderId="0" xfId="0" applyFill="1">
      <alignment vertical="center"/>
    </xf>
    <xf numFmtId="0" fontId="0" fillId="695" borderId="0" xfId="0" applyFill="1">
      <alignment vertical="center"/>
    </xf>
    <xf numFmtId="0" fontId="0" fillId="696" borderId="0" xfId="0" applyFill="1">
      <alignment vertical="center"/>
    </xf>
    <xf numFmtId="0" fontId="0" fillId="697" borderId="0" xfId="0" applyFill="1">
      <alignment vertical="center"/>
    </xf>
    <xf numFmtId="0" fontId="0" fillId="698" borderId="0" xfId="0" applyFill="1">
      <alignment vertical="center"/>
    </xf>
    <xf numFmtId="0" fontId="0" fillId="699" borderId="0" xfId="0" applyFill="1">
      <alignment vertical="center"/>
    </xf>
    <xf numFmtId="0" fontId="0" fillId="700" borderId="0" xfId="0" applyFill="1">
      <alignment vertical="center"/>
    </xf>
    <xf numFmtId="0" fontId="0" fillId="701" borderId="0" xfId="0" applyFill="1">
      <alignment vertical="center"/>
    </xf>
    <xf numFmtId="0" fontId="0" fillId="702" borderId="0" xfId="0" applyFill="1">
      <alignment vertical="center"/>
    </xf>
    <xf numFmtId="0" fontId="0" fillId="703" borderId="0" xfId="0" applyFill="1">
      <alignment vertical="center"/>
    </xf>
    <xf numFmtId="0" fontId="0" fillId="704" borderId="0" xfId="0" applyFill="1">
      <alignment vertical="center"/>
    </xf>
    <xf numFmtId="0" fontId="0" fillId="705" borderId="0" xfId="0" applyFill="1">
      <alignment vertical="center"/>
    </xf>
    <xf numFmtId="0" fontId="0" fillId="706" borderId="0" xfId="0" applyFill="1">
      <alignment vertical="center"/>
    </xf>
    <xf numFmtId="0" fontId="0" fillId="707" borderId="0" xfId="0" applyFill="1">
      <alignment vertical="center"/>
    </xf>
    <xf numFmtId="0" fontId="0" fillId="708" borderId="0" xfId="0" applyFill="1">
      <alignment vertical="center"/>
    </xf>
    <xf numFmtId="0" fontId="0" fillId="709" borderId="0" xfId="0" applyFill="1">
      <alignment vertical="center"/>
    </xf>
    <xf numFmtId="0" fontId="0" fillId="710" borderId="0" xfId="0" applyFill="1">
      <alignment vertical="center"/>
    </xf>
    <xf numFmtId="0" fontId="0" fillId="711" borderId="0" xfId="0" applyFill="1">
      <alignment vertical="center"/>
    </xf>
    <xf numFmtId="0" fontId="0" fillId="712" borderId="0" xfId="0" applyFill="1">
      <alignment vertical="center"/>
    </xf>
    <xf numFmtId="0" fontId="0" fillId="713" borderId="0" xfId="0" applyFill="1">
      <alignment vertical="center"/>
    </xf>
    <xf numFmtId="0" fontId="0" fillId="714" borderId="0" xfId="0" applyFill="1">
      <alignment vertical="center"/>
    </xf>
    <xf numFmtId="0" fontId="0" fillId="715" borderId="0" xfId="0" applyFill="1">
      <alignment vertical="center"/>
    </xf>
    <xf numFmtId="0" fontId="0" fillId="716" borderId="0" xfId="0" applyFill="1">
      <alignment vertical="center"/>
    </xf>
    <xf numFmtId="0" fontId="0" fillId="717" borderId="0" xfId="0" applyFill="1">
      <alignment vertical="center"/>
    </xf>
    <xf numFmtId="0" fontId="0" fillId="718" borderId="0" xfId="0" applyFill="1">
      <alignment vertical="center"/>
    </xf>
    <xf numFmtId="0" fontId="0" fillId="719" borderId="0" xfId="0" applyFill="1">
      <alignment vertical="center"/>
    </xf>
    <xf numFmtId="0" fontId="0" fillId="720" borderId="0" xfId="0" applyFill="1">
      <alignment vertical="center"/>
    </xf>
    <xf numFmtId="0" fontId="0" fillId="721" borderId="0" xfId="0" applyFill="1">
      <alignment vertical="center"/>
    </xf>
    <xf numFmtId="0" fontId="0" fillId="722" borderId="0" xfId="0" applyFill="1">
      <alignment vertical="center"/>
    </xf>
    <xf numFmtId="0" fontId="0" fillId="723" borderId="0" xfId="0" applyFill="1">
      <alignment vertical="center"/>
    </xf>
    <xf numFmtId="0" fontId="0" fillId="724" borderId="0" xfId="0" applyFill="1">
      <alignment vertical="center"/>
    </xf>
    <xf numFmtId="0" fontId="0" fillId="725" borderId="0" xfId="0" applyFill="1">
      <alignment vertical="center"/>
    </xf>
    <xf numFmtId="0" fontId="0" fillId="726" borderId="0" xfId="0" applyFill="1">
      <alignment vertical="center"/>
    </xf>
    <xf numFmtId="0" fontId="0" fillId="727" borderId="0" xfId="0" applyFill="1">
      <alignment vertical="center"/>
    </xf>
    <xf numFmtId="0" fontId="0" fillId="728" borderId="0" xfId="0" applyFill="1">
      <alignment vertical="center"/>
    </xf>
    <xf numFmtId="0" fontId="0" fillId="729" borderId="0" xfId="0" applyFill="1">
      <alignment vertical="center"/>
    </xf>
    <xf numFmtId="0" fontId="0" fillId="730" borderId="0" xfId="0" applyFill="1">
      <alignment vertical="center"/>
    </xf>
    <xf numFmtId="0" fontId="0" fillId="731" borderId="0" xfId="0" applyFill="1">
      <alignment vertical="center"/>
    </xf>
    <xf numFmtId="0" fontId="0" fillId="732" borderId="0" xfId="0" applyFill="1">
      <alignment vertical="center"/>
    </xf>
    <xf numFmtId="0" fontId="0" fillId="733" borderId="0" xfId="0" applyFill="1">
      <alignment vertical="center"/>
    </xf>
    <xf numFmtId="0" fontId="0" fillId="734" borderId="0" xfId="0" applyFill="1">
      <alignment vertical="center"/>
    </xf>
    <xf numFmtId="0" fontId="0" fillId="735" borderId="0" xfId="0" applyFill="1">
      <alignment vertical="center"/>
    </xf>
    <xf numFmtId="0" fontId="0" fillId="736" borderId="0" xfId="0" applyFill="1">
      <alignment vertical="center"/>
    </xf>
    <xf numFmtId="0" fontId="0" fillId="737" borderId="0" xfId="0" applyFill="1">
      <alignment vertical="center"/>
    </xf>
    <xf numFmtId="0" fontId="0" fillId="738" borderId="0" xfId="0" applyFill="1">
      <alignment vertical="center"/>
    </xf>
    <xf numFmtId="0" fontId="0" fillId="739" borderId="0" xfId="0" applyFill="1">
      <alignment vertical="center"/>
    </xf>
    <xf numFmtId="0" fontId="0" fillId="740" borderId="0" xfId="0" applyFill="1">
      <alignment vertical="center"/>
    </xf>
    <xf numFmtId="0" fontId="0" fillId="741" borderId="0" xfId="0" applyFill="1">
      <alignment vertical="center"/>
    </xf>
    <xf numFmtId="0" fontId="0" fillId="742" borderId="0" xfId="0" applyFill="1">
      <alignment vertical="center"/>
    </xf>
    <xf numFmtId="0" fontId="0" fillId="743" borderId="0" xfId="0" applyFill="1">
      <alignment vertical="center"/>
    </xf>
    <xf numFmtId="0" fontId="0" fillId="744" borderId="0" xfId="0" applyFill="1">
      <alignment vertical="center"/>
    </xf>
    <xf numFmtId="0" fontId="0" fillId="745" borderId="0" xfId="0" applyFill="1">
      <alignment vertical="center"/>
    </xf>
    <xf numFmtId="0" fontId="0" fillId="746" borderId="0" xfId="0" applyFill="1">
      <alignment vertical="center"/>
    </xf>
    <xf numFmtId="0" fontId="0" fillId="747" borderId="0" xfId="0" applyFill="1">
      <alignment vertical="center"/>
    </xf>
    <xf numFmtId="0" fontId="0" fillId="748" borderId="0" xfId="0" applyFill="1">
      <alignment vertical="center"/>
    </xf>
    <xf numFmtId="0" fontId="0" fillId="749" borderId="0" xfId="0" applyFill="1">
      <alignment vertical="center"/>
    </xf>
    <xf numFmtId="0" fontId="0" fillId="750" borderId="0" xfId="0" applyFill="1">
      <alignment vertical="center"/>
    </xf>
    <xf numFmtId="0" fontId="0" fillId="751" borderId="0" xfId="0" applyFill="1">
      <alignment vertical="center"/>
    </xf>
    <xf numFmtId="0" fontId="0" fillId="752" borderId="0" xfId="0" applyFill="1">
      <alignment vertical="center"/>
    </xf>
    <xf numFmtId="0" fontId="0" fillId="753" borderId="0" xfId="0" applyFill="1">
      <alignment vertical="center"/>
    </xf>
    <xf numFmtId="0" fontId="0" fillId="754" borderId="0" xfId="0" applyFill="1">
      <alignment vertical="center"/>
    </xf>
    <xf numFmtId="0" fontId="0" fillId="755" borderId="0" xfId="0" applyFill="1">
      <alignment vertical="center"/>
    </xf>
    <xf numFmtId="0" fontId="0" fillId="756" borderId="0" xfId="0" applyFill="1">
      <alignment vertical="center"/>
    </xf>
    <xf numFmtId="0" fontId="0" fillId="757" borderId="0" xfId="0" applyFill="1">
      <alignment vertical="center"/>
    </xf>
    <xf numFmtId="0" fontId="0" fillId="758" borderId="0" xfId="0" applyFill="1">
      <alignment vertical="center"/>
    </xf>
    <xf numFmtId="0" fontId="0" fillId="759" borderId="0" xfId="0" applyFill="1">
      <alignment vertical="center"/>
    </xf>
    <xf numFmtId="0" fontId="0" fillId="760" borderId="0" xfId="0" applyFill="1">
      <alignment vertical="center"/>
    </xf>
    <xf numFmtId="0" fontId="0" fillId="761" borderId="0" xfId="0" applyFill="1">
      <alignment vertical="center"/>
    </xf>
    <xf numFmtId="0" fontId="0" fillId="762" borderId="0" xfId="0" applyFill="1">
      <alignment vertical="center"/>
    </xf>
    <xf numFmtId="0" fontId="0" fillId="763" borderId="0" xfId="0" applyFill="1">
      <alignment vertical="center"/>
    </xf>
    <xf numFmtId="0" fontId="0" fillId="764" borderId="0" xfId="0" applyFill="1">
      <alignment vertical="center"/>
    </xf>
    <xf numFmtId="0" fontId="0" fillId="765" borderId="0" xfId="0" applyFill="1">
      <alignment vertical="center"/>
    </xf>
    <xf numFmtId="0" fontId="0" fillId="766" borderId="0" xfId="0" applyFill="1">
      <alignment vertical="center"/>
    </xf>
    <xf numFmtId="0" fontId="0" fillId="767" borderId="0" xfId="0" applyFill="1">
      <alignment vertical="center"/>
    </xf>
    <xf numFmtId="0" fontId="0" fillId="768" borderId="0" xfId="0" applyFill="1">
      <alignment vertical="center"/>
    </xf>
    <xf numFmtId="0" fontId="0" fillId="769" borderId="0" xfId="0" applyFill="1">
      <alignment vertical="center"/>
    </xf>
    <xf numFmtId="0" fontId="0" fillId="770" borderId="0" xfId="0" applyFill="1">
      <alignment vertical="center"/>
    </xf>
    <xf numFmtId="0" fontId="0" fillId="771" borderId="0" xfId="0" applyFill="1">
      <alignment vertical="center"/>
    </xf>
    <xf numFmtId="0" fontId="0" fillId="772" borderId="0" xfId="0" applyFill="1">
      <alignment vertical="center"/>
    </xf>
    <xf numFmtId="0" fontId="0" fillId="773" borderId="0" xfId="0" applyFill="1">
      <alignment vertical="center"/>
    </xf>
    <xf numFmtId="0" fontId="0" fillId="774" borderId="0" xfId="0" applyFill="1">
      <alignment vertical="center"/>
    </xf>
    <xf numFmtId="0" fontId="0" fillId="775" borderId="0" xfId="0" applyFill="1">
      <alignment vertical="center"/>
    </xf>
    <xf numFmtId="0" fontId="0" fillId="776" borderId="0" xfId="0" applyFill="1">
      <alignment vertical="center"/>
    </xf>
    <xf numFmtId="0" fontId="0" fillId="777" borderId="0" xfId="0" applyFill="1">
      <alignment vertical="center"/>
    </xf>
    <xf numFmtId="0" fontId="0" fillId="778" borderId="0" xfId="0" applyFill="1">
      <alignment vertical="center"/>
    </xf>
    <xf numFmtId="0" fontId="0" fillId="779" borderId="0" xfId="0" applyFill="1">
      <alignment vertical="center"/>
    </xf>
    <xf numFmtId="0" fontId="0" fillId="780" borderId="0" xfId="0" applyFill="1">
      <alignment vertical="center"/>
    </xf>
    <xf numFmtId="0" fontId="0" fillId="781" borderId="0" xfId="0" applyFill="1">
      <alignment vertical="center"/>
    </xf>
    <xf numFmtId="0" fontId="0" fillId="782" borderId="0" xfId="0" applyFill="1">
      <alignment vertical="center"/>
    </xf>
    <xf numFmtId="0" fontId="0" fillId="783" borderId="0" xfId="0" applyFill="1">
      <alignment vertical="center"/>
    </xf>
    <xf numFmtId="0" fontId="0" fillId="784" borderId="0" xfId="0" applyFill="1">
      <alignment vertical="center"/>
    </xf>
    <xf numFmtId="0" fontId="0" fillId="785" borderId="0" xfId="0" applyFill="1">
      <alignment vertical="center"/>
    </xf>
    <xf numFmtId="0" fontId="0" fillId="786" borderId="0" xfId="0" applyFill="1">
      <alignment vertical="center"/>
    </xf>
    <xf numFmtId="0" fontId="0" fillId="787" borderId="0" xfId="0" applyFill="1">
      <alignment vertical="center"/>
    </xf>
    <xf numFmtId="0" fontId="0" fillId="788" borderId="0" xfId="0" applyFill="1">
      <alignment vertical="center"/>
    </xf>
    <xf numFmtId="0" fontId="0" fillId="789" borderId="0" xfId="0" applyFill="1">
      <alignment vertical="center"/>
    </xf>
    <xf numFmtId="0" fontId="0" fillId="790" borderId="0" xfId="0" applyFill="1">
      <alignment vertical="center"/>
    </xf>
    <xf numFmtId="0" fontId="0" fillId="791" borderId="0" xfId="0" applyFill="1">
      <alignment vertical="center"/>
    </xf>
    <xf numFmtId="0" fontId="0" fillId="792" borderId="0" xfId="0" applyFill="1">
      <alignment vertical="center"/>
    </xf>
    <xf numFmtId="0" fontId="0" fillId="793" borderId="0" xfId="0" applyFill="1">
      <alignment vertical="center"/>
    </xf>
    <xf numFmtId="0" fontId="0" fillId="794" borderId="0" xfId="0" applyFill="1">
      <alignment vertical="center"/>
    </xf>
    <xf numFmtId="0" fontId="0" fillId="795" borderId="0" xfId="0" applyFill="1">
      <alignment vertical="center"/>
    </xf>
    <xf numFmtId="0" fontId="0" fillId="796" borderId="0" xfId="0" applyFill="1">
      <alignment vertical="center"/>
    </xf>
    <xf numFmtId="0" fontId="0" fillId="797" borderId="0" xfId="0" applyFill="1">
      <alignment vertical="center"/>
    </xf>
    <xf numFmtId="0" fontId="0" fillId="798" borderId="0" xfId="0" applyFill="1">
      <alignment vertical="center"/>
    </xf>
    <xf numFmtId="0" fontId="0" fillId="799" borderId="0" xfId="0" applyFill="1">
      <alignment vertical="center"/>
    </xf>
    <xf numFmtId="0" fontId="0" fillId="800" borderId="0" xfId="0" applyFill="1">
      <alignment vertical="center"/>
    </xf>
    <xf numFmtId="0" fontId="0" fillId="801" borderId="0" xfId="0" applyFill="1">
      <alignment vertical="center"/>
    </xf>
    <xf numFmtId="0" fontId="0" fillId="802" borderId="0" xfId="0" applyFill="1">
      <alignment vertical="center"/>
    </xf>
    <xf numFmtId="0" fontId="0" fillId="803" borderId="0" xfId="0" applyFill="1">
      <alignment vertical="center"/>
    </xf>
    <xf numFmtId="0" fontId="0" fillId="804" borderId="0" xfId="0" applyFill="1">
      <alignment vertical="center"/>
    </xf>
    <xf numFmtId="0" fontId="0" fillId="805" borderId="0" xfId="0" applyFill="1">
      <alignment vertical="center"/>
    </xf>
    <xf numFmtId="0" fontId="0" fillId="806" borderId="0" xfId="0" applyFill="1">
      <alignment vertical="center"/>
    </xf>
    <xf numFmtId="0" fontId="0" fillId="807" borderId="0" xfId="0" applyFill="1">
      <alignment vertical="center"/>
    </xf>
    <xf numFmtId="0" fontId="0" fillId="808" borderId="0" xfId="0" applyFill="1">
      <alignment vertical="center"/>
    </xf>
    <xf numFmtId="0" fontId="0" fillId="809" borderId="0" xfId="0" applyFill="1">
      <alignment vertical="center"/>
    </xf>
    <xf numFmtId="0" fontId="0" fillId="810" borderId="0" xfId="0" applyFill="1">
      <alignment vertical="center"/>
    </xf>
    <xf numFmtId="0" fontId="0" fillId="811" borderId="0" xfId="0" applyFill="1">
      <alignment vertical="center"/>
    </xf>
    <xf numFmtId="0" fontId="0" fillId="812" borderId="0" xfId="0" applyFill="1">
      <alignment vertical="center"/>
    </xf>
    <xf numFmtId="0" fontId="0" fillId="813" borderId="0" xfId="0" applyFill="1">
      <alignment vertical="center"/>
    </xf>
    <xf numFmtId="0" fontId="0" fillId="814" borderId="0" xfId="0" applyFill="1">
      <alignment vertical="center"/>
    </xf>
    <xf numFmtId="0" fontId="0" fillId="815" borderId="0" xfId="0" applyFill="1">
      <alignment vertical="center"/>
    </xf>
    <xf numFmtId="0" fontId="0" fillId="816" borderId="0" xfId="0" applyFill="1">
      <alignment vertical="center"/>
    </xf>
    <xf numFmtId="0" fontId="0" fillId="817" borderId="0" xfId="0" applyFill="1">
      <alignment vertical="center"/>
    </xf>
    <xf numFmtId="0" fontId="0" fillId="818" borderId="0" xfId="0" applyFill="1">
      <alignment vertical="center"/>
    </xf>
    <xf numFmtId="0" fontId="0" fillId="819" borderId="0" xfId="0" applyFill="1">
      <alignment vertical="center"/>
    </xf>
    <xf numFmtId="0" fontId="0" fillId="820" borderId="0" xfId="0" applyFill="1">
      <alignment vertical="center"/>
    </xf>
    <xf numFmtId="0" fontId="0" fillId="821" borderId="0" xfId="0" applyFill="1">
      <alignment vertical="center"/>
    </xf>
    <xf numFmtId="0" fontId="0" fillId="822" borderId="0" xfId="0" applyFill="1">
      <alignment vertical="center"/>
    </xf>
    <xf numFmtId="0" fontId="0" fillId="823" borderId="0" xfId="0" applyFill="1">
      <alignment vertical="center"/>
    </xf>
    <xf numFmtId="0" fontId="0" fillId="824" borderId="0" xfId="0" applyFill="1">
      <alignment vertical="center"/>
    </xf>
    <xf numFmtId="0" fontId="0" fillId="825" borderId="0" xfId="0" applyFill="1">
      <alignment vertical="center"/>
    </xf>
    <xf numFmtId="0" fontId="0" fillId="826" borderId="0" xfId="0" applyFill="1">
      <alignment vertical="center"/>
    </xf>
    <xf numFmtId="0" fontId="0" fillId="827" borderId="0" xfId="0" applyFill="1">
      <alignment vertical="center"/>
    </xf>
    <xf numFmtId="0" fontId="0" fillId="828" borderId="0" xfId="0" applyFill="1">
      <alignment vertical="center"/>
    </xf>
    <xf numFmtId="0" fontId="0" fillId="829" borderId="0" xfId="0" applyFill="1">
      <alignment vertical="center"/>
    </xf>
    <xf numFmtId="0" fontId="0" fillId="830" borderId="0" xfId="0" applyFill="1">
      <alignment vertical="center"/>
    </xf>
    <xf numFmtId="0" fontId="0" fillId="831" borderId="0" xfId="0" applyFill="1">
      <alignment vertical="center"/>
    </xf>
    <xf numFmtId="0" fontId="0" fillId="832" borderId="0" xfId="0" applyFill="1">
      <alignment vertical="center"/>
    </xf>
    <xf numFmtId="0" fontId="0" fillId="833" borderId="0" xfId="0" applyFill="1">
      <alignment vertical="center"/>
    </xf>
    <xf numFmtId="0" fontId="0" fillId="834" borderId="0" xfId="0" applyFill="1">
      <alignment vertical="center"/>
    </xf>
    <xf numFmtId="0" fontId="0" fillId="835" borderId="0" xfId="0" applyFill="1">
      <alignment vertical="center"/>
    </xf>
    <xf numFmtId="0" fontId="0" fillId="836" borderId="0" xfId="0" applyFill="1">
      <alignment vertical="center"/>
    </xf>
    <xf numFmtId="0" fontId="0" fillId="837" borderId="0" xfId="0" applyFill="1">
      <alignment vertical="center"/>
    </xf>
    <xf numFmtId="0" fontId="0" fillId="838" borderId="0" xfId="0" applyFill="1">
      <alignment vertical="center"/>
    </xf>
    <xf numFmtId="0" fontId="0" fillId="839" borderId="0" xfId="0" applyFill="1">
      <alignment vertical="center"/>
    </xf>
    <xf numFmtId="0" fontId="0" fillId="840" borderId="0" xfId="0" applyFill="1">
      <alignment vertical="center"/>
    </xf>
    <xf numFmtId="0" fontId="0" fillId="841" borderId="0" xfId="0" applyFill="1">
      <alignment vertical="center"/>
    </xf>
    <xf numFmtId="0" fontId="0" fillId="842" borderId="0" xfId="0" applyFill="1">
      <alignment vertical="center"/>
    </xf>
    <xf numFmtId="0" fontId="0" fillId="843" borderId="0" xfId="0" applyFill="1">
      <alignment vertical="center"/>
    </xf>
    <xf numFmtId="0" fontId="0" fillId="844" borderId="0" xfId="0" applyFill="1">
      <alignment vertical="center"/>
    </xf>
    <xf numFmtId="0" fontId="0" fillId="845" borderId="0" xfId="0" applyFill="1">
      <alignment vertical="center"/>
    </xf>
    <xf numFmtId="0" fontId="0" fillId="846" borderId="0" xfId="0" applyFill="1">
      <alignment vertical="center"/>
    </xf>
    <xf numFmtId="0" fontId="0" fillId="847" borderId="0" xfId="0" applyFill="1">
      <alignment vertical="center"/>
    </xf>
    <xf numFmtId="0" fontId="0" fillId="848" borderId="0" xfId="0" applyFill="1">
      <alignment vertical="center"/>
    </xf>
    <xf numFmtId="0" fontId="0" fillId="849" borderId="0" xfId="0" applyFill="1">
      <alignment vertical="center"/>
    </xf>
    <xf numFmtId="0" fontId="0" fillId="850" borderId="0" xfId="0" applyFill="1">
      <alignment vertical="center"/>
    </xf>
    <xf numFmtId="0" fontId="0" fillId="851" borderId="0" xfId="0" applyFill="1">
      <alignment vertical="center"/>
    </xf>
    <xf numFmtId="0" fontId="0" fillId="852" borderId="0" xfId="0" applyFill="1">
      <alignment vertical="center"/>
    </xf>
    <xf numFmtId="0" fontId="0" fillId="853" borderId="0" xfId="0" applyFill="1">
      <alignment vertical="center"/>
    </xf>
    <xf numFmtId="0" fontId="0" fillId="854" borderId="0" xfId="0" applyFill="1">
      <alignment vertical="center"/>
    </xf>
    <xf numFmtId="0" fontId="0" fillId="855" borderId="0" xfId="0" applyFill="1">
      <alignment vertical="center"/>
    </xf>
    <xf numFmtId="0" fontId="0" fillId="856" borderId="0" xfId="0" applyFill="1">
      <alignment vertical="center"/>
    </xf>
    <xf numFmtId="0" fontId="0" fillId="857" borderId="0" xfId="0" applyFill="1">
      <alignment vertical="center"/>
    </xf>
    <xf numFmtId="0" fontId="0" fillId="858" borderId="0" xfId="0" applyFill="1">
      <alignment vertical="center"/>
    </xf>
    <xf numFmtId="0" fontId="0" fillId="859" borderId="0" xfId="0" applyFill="1">
      <alignment vertical="center"/>
    </xf>
    <xf numFmtId="0" fontId="0" fillId="860" borderId="0" xfId="0" applyFill="1">
      <alignment vertical="center"/>
    </xf>
    <xf numFmtId="0" fontId="0" fillId="861" borderId="0" xfId="0" applyFill="1">
      <alignment vertical="center"/>
    </xf>
    <xf numFmtId="0" fontId="0" fillId="862" borderId="0" xfId="0" applyFill="1">
      <alignment vertical="center"/>
    </xf>
    <xf numFmtId="0" fontId="0" fillId="863" borderId="0" xfId="0" applyFill="1">
      <alignment vertical="center"/>
    </xf>
    <xf numFmtId="0" fontId="0" fillId="864" borderId="0" xfId="0" applyFill="1">
      <alignment vertical="center"/>
    </xf>
    <xf numFmtId="0" fontId="0" fillId="865" borderId="0" xfId="0" applyFill="1">
      <alignment vertical="center"/>
    </xf>
    <xf numFmtId="0" fontId="0" fillId="866" borderId="0" xfId="0" applyFill="1">
      <alignment vertical="center"/>
    </xf>
    <xf numFmtId="0" fontId="0" fillId="867" borderId="0" xfId="0" applyFill="1">
      <alignment vertical="center"/>
    </xf>
    <xf numFmtId="0" fontId="0" fillId="868" borderId="0" xfId="0" applyFill="1">
      <alignment vertical="center"/>
    </xf>
    <xf numFmtId="0" fontId="0" fillId="869" borderId="0" xfId="0" applyFill="1">
      <alignment vertical="center"/>
    </xf>
    <xf numFmtId="0" fontId="0" fillId="870" borderId="0" xfId="0" applyFill="1">
      <alignment vertical="center"/>
    </xf>
    <xf numFmtId="0" fontId="0" fillId="871" borderId="0" xfId="0" applyFill="1">
      <alignment vertical="center"/>
    </xf>
    <xf numFmtId="0" fontId="0" fillId="872" borderId="0" xfId="0" applyFill="1">
      <alignment vertical="center"/>
    </xf>
    <xf numFmtId="0" fontId="0" fillId="873" borderId="0" xfId="0" applyFill="1">
      <alignment vertical="center"/>
    </xf>
    <xf numFmtId="0" fontId="0" fillId="874" borderId="0" xfId="0" applyFill="1">
      <alignment vertical="center"/>
    </xf>
    <xf numFmtId="0" fontId="0" fillId="875" borderId="0" xfId="0" applyFill="1">
      <alignment vertical="center"/>
    </xf>
    <xf numFmtId="0" fontId="0" fillId="876" borderId="0" xfId="0" applyFill="1">
      <alignment vertical="center"/>
    </xf>
    <xf numFmtId="0" fontId="0" fillId="877" borderId="0" xfId="0" applyFill="1">
      <alignment vertical="center"/>
    </xf>
    <xf numFmtId="0" fontId="0" fillId="878" borderId="0" xfId="0" applyFill="1">
      <alignment vertical="center"/>
    </xf>
    <xf numFmtId="0" fontId="0" fillId="879" borderId="0" xfId="0" applyFill="1">
      <alignment vertical="center"/>
    </xf>
    <xf numFmtId="0" fontId="0" fillId="880" borderId="0" xfId="0" applyFill="1">
      <alignment vertical="center"/>
    </xf>
    <xf numFmtId="0" fontId="0" fillId="881" borderId="0" xfId="0" applyFill="1">
      <alignment vertical="center"/>
    </xf>
    <xf numFmtId="0" fontId="0" fillId="882" borderId="0" xfId="0" applyFill="1">
      <alignment vertical="center"/>
    </xf>
    <xf numFmtId="0" fontId="0" fillId="883" borderId="0" xfId="0" applyFill="1">
      <alignment vertical="center"/>
    </xf>
    <xf numFmtId="0" fontId="0" fillId="884" borderId="0" xfId="0" applyFill="1">
      <alignment vertical="center"/>
    </xf>
    <xf numFmtId="0" fontId="0" fillId="885" borderId="0" xfId="0" applyFill="1">
      <alignment vertical="center"/>
    </xf>
    <xf numFmtId="0" fontId="0" fillId="886" borderId="0" xfId="0" applyFill="1">
      <alignment vertical="center"/>
    </xf>
    <xf numFmtId="0" fontId="0" fillId="887" borderId="0" xfId="0" applyFill="1">
      <alignment vertical="center"/>
    </xf>
    <xf numFmtId="0" fontId="0" fillId="888" borderId="0" xfId="0" applyFill="1">
      <alignment vertical="center"/>
    </xf>
    <xf numFmtId="0" fontId="0" fillId="889" borderId="0" xfId="0" applyFill="1">
      <alignment vertical="center"/>
    </xf>
    <xf numFmtId="0" fontId="0" fillId="890" borderId="0" xfId="0" applyFill="1">
      <alignment vertical="center"/>
    </xf>
    <xf numFmtId="0" fontId="0" fillId="891" borderId="0" xfId="0" applyFill="1">
      <alignment vertical="center"/>
    </xf>
    <xf numFmtId="0" fontId="0" fillId="892" borderId="0" xfId="0" applyFill="1">
      <alignment vertical="center"/>
    </xf>
    <xf numFmtId="0" fontId="0" fillId="893" borderId="0" xfId="0" applyFill="1">
      <alignment vertical="center"/>
    </xf>
    <xf numFmtId="0" fontId="0" fillId="894" borderId="0" xfId="0" applyFill="1">
      <alignment vertical="center"/>
    </xf>
    <xf numFmtId="0" fontId="0" fillId="895" borderId="0" xfId="0" applyFill="1">
      <alignment vertical="center"/>
    </xf>
    <xf numFmtId="0" fontId="0" fillId="896" borderId="0" xfId="0" applyFill="1">
      <alignment vertical="center"/>
    </xf>
    <xf numFmtId="0" fontId="0" fillId="897" borderId="0" xfId="0" applyFill="1">
      <alignment vertical="center"/>
    </xf>
    <xf numFmtId="0" fontId="0" fillId="898" borderId="0" xfId="0" applyFill="1">
      <alignment vertical="center"/>
    </xf>
    <xf numFmtId="0" fontId="0" fillId="899" borderId="0" xfId="0" applyFill="1">
      <alignment vertical="center"/>
    </xf>
    <xf numFmtId="0" fontId="0" fillId="900" borderId="0" xfId="0" applyFill="1">
      <alignment vertical="center"/>
    </xf>
    <xf numFmtId="0" fontId="0" fillId="901" borderId="0" xfId="0" applyFill="1">
      <alignment vertical="center"/>
    </xf>
    <xf numFmtId="0" fontId="0" fillId="902" borderId="0" xfId="0" applyFill="1">
      <alignment vertical="center"/>
    </xf>
    <xf numFmtId="0" fontId="0" fillId="903" borderId="0" xfId="0" applyFill="1">
      <alignment vertical="center"/>
    </xf>
    <xf numFmtId="0" fontId="0" fillId="904" borderId="0" xfId="0" applyFill="1">
      <alignment vertical="center"/>
    </xf>
    <xf numFmtId="0" fontId="0" fillId="905" borderId="0" xfId="0" applyFill="1">
      <alignment vertical="center"/>
    </xf>
    <xf numFmtId="0" fontId="0" fillId="906" borderId="0" xfId="0" applyFill="1">
      <alignment vertical="center"/>
    </xf>
    <xf numFmtId="0" fontId="0" fillId="907" borderId="0" xfId="0" applyFill="1">
      <alignment vertical="center"/>
    </xf>
    <xf numFmtId="0" fontId="0" fillId="908" borderId="0" xfId="0" applyFill="1">
      <alignment vertical="center"/>
    </xf>
    <xf numFmtId="0" fontId="0" fillId="909" borderId="0" xfId="0" applyFill="1">
      <alignment vertical="center"/>
    </xf>
    <xf numFmtId="0" fontId="0" fillId="910" borderId="0" xfId="0" applyFill="1">
      <alignment vertical="center"/>
    </xf>
    <xf numFmtId="0" fontId="0" fillId="911" borderId="0" xfId="0" applyFill="1">
      <alignment vertical="center"/>
    </xf>
    <xf numFmtId="0" fontId="0" fillId="912" borderId="0" xfId="0" applyFill="1">
      <alignment vertical="center"/>
    </xf>
    <xf numFmtId="0" fontId="0" fillId="913" borderId="0" xfId="0" applyFill="1">
      <alignment vertical="center"/>
    </xf>
    <xf numFmtId="0" fontId="0" fillId="914" borderId="0" xfId="0" applyFill="1">
      <alignment vertical="center"/>
    </xf>
    <xf numFmtId="0" fontId="0" fillId="915" borderId="0" xfId="0" applyFill="1">
      <alignment vertical="center"/>
    </xf>
    <xf numFmtId="0" fontId="0" fillId="916" borderId="0" xfId="0" applyFill="1">
      <alignment vertical="center"/>
    </xf>
    <xf numFmtId="0" fontId="0" fillId="917" borderId="0" xfId="0" applyFill="1">
      <alignment vertical="center"/>
    </xf>
    <xf numFmtId="0" fontId="0" fillId="918" borderId="0" xfId="0" applyFill="1">
      <alignment vertical="center"/>
    </xf>
    <xf numFmtId="0" fontId="0" fillId="919" borderId="0" xfId="0" applyFill="1">
      <alignment vertical="center"/>
    </xf>
    <xf numFmtId="0" fontId="0" fillId="920" borderId="0" xfId="0" applyFill="1">
      <alignment vertical="center"/>
    </xf>
    <xf numFmtId="0" fontId="0" fillId="921" borderId="0" xfId="0" applyFill="1">
      <alignment vertical="center"/>
    </xf>
    <xf numFmtId="0" fontId="0" fillId="922" borderId="0" xfId="0" applyFill="1">
      <alignment vertical="center"/>
    </xf>
    <xf numFmtId="0" fontId="0" fillId="923" borderId="0" xfId="0" applyFill="1">
      <alignment vertical="center"/>
    </xf>
    <xf numFmtId="0" fontId="0" fillId="924" borderId="0" xfId="0" applyFill="1">
      <alignment vertical="center"/>
    </xf>
    <xf numFmtId="0" fontId="0" fillId="925" borderId="0" xfId="0" applyFill="1">
      <alignment vertical="center"/>
    </xf>
    <xf numFmtId="0" fontId="0" fillId="926" borderId="0" xfId="0" applyFill="1">
      <alignment vertical="center"/>
    </xf>
    <xf numFmtId="0" fontId="0" fillId="927" borderId="0" xfId="0" applyFill="1">
      <alignment vertical="center"/>
    </xf>
    <xf numFmtId="0" fontId="0" fillId="928" borderId="0" xfId="0" applyFill="1">
      <alignment vertical="center"/>
    </xf>
    <xf numFmtId="0" fontId="0" fillId="929" borderId="0" xfId="0" applyFill="1">
      <alignment vertical="center"/>
    </xf>
    <xf numFmtId="0" fontId="0" fillId="930" borderId="0" xfId="0" applyFill="1">
      <alignment vertical="center"/>
    </xf>
    <xf numFmtId="0" fontId="0" fillId="931" borderId="0" xfId="0" applyFill="1">
      <alignment vertical="center"/>
    </xf>
    <xf numFmtId="0" fontId="0" fillId="932" borderId="0" xfId="0" applyFill="1">
      <alignment vertical="center"/>
    </xf>
    <xf numFmtId="0" fontId="0" fillId="933" borderId="0" xfId="0" applyFill="1">
      <alignment vertical="center"/>
    </xf>
    <xf numFmtId="0" fontId="0" fillId="934" borderId="0" xfId="0" applyFill="1">
      <alignment vertical="center"/>
    </xf>
    <xf numFmtId="0" fontId="0" fillId="935" borderId="0" xfId="0" applyFill="1">
      <alignment vertical="center"/>
    </xf>
    <xf numFmtId="0" fontId="0" fillId="936" borderId="0" xfId="0" applyFill="1">
      <alignment vertical="center"/>
    </xf>
    <xf numFmtId="0" fontId="0" fillId="937" borderId="0" xfId="0" applyFill="1">
      <alignment vertical="center"/>
    </xf>
    <xf numFmtId="0" fontId="0" fillId="938" borderId="0" xfId="0" applyFill="1">
      <alignment vertical="center"/>
    </xf>
    <xf numFmtId="0" fontId="0" fillId="939" borderId="0" xfId="0" applyFill="1">
      <alignment vertical="center"/>
    </xf>
    <xf numFmtId="0" fontId="0" fillId="940" borderId="0" xfId="0" applyFill="1">
      <alignment vertical="center"/>
    </xf>
    <xf numFmtId="0" fontId="0" fillId="941" borderId="0" xfId="0" applyFill="1">
      <alignment vertical="center"/>
    </xf>
    <xf numFmtId="0" fontId="0" fillId="942" borderId="0" xfId="0" applyFill="1">
      <alignment vertical="center"/>
    </xf>
    <xf numFmtId="0" fontId="0" fillId="943" borderId="0" xfId="0" applyFill="1">
      <alignment vertical="center"/>
    </xf>
    <xf numFmtId="0" fontId="0" fillId="944" borderId="0" xfId="0" applyFill="1">
      <alignment vertical="center"/>
    </xf>
    <xf numFmtId="0" fontId="0" fillId="945" borderId="0" xfId="0" applyFill="1">
      <alignment vertical="center"/>
    </xf>
    <xf numFmtId="0" fontId="0" fillId="946" borderId="0" xfId="0" applyFill="1">
      <alignment vertical="center"/>
    </xf>
    <xf numFmtId="0" fontId="0" fillId="947" borderId="0" xfId="0" applyFill="1">
      <alignment vertical="center"/>
    </xf>
    <xf numFmtId="0" fontId="0" fillId="948" borderId="0" xfId="0" applyFill="1">
      <alignment vertical="center"/>
    </xf>
    <xf numFmtId="0" fontId="0" fillId="949" borderId="0" xfId="0" applyFill="1">
      <alignment vertical="center"/>
    </xf>
    <xf numFmtId="177" fontId="0" fillId="0" borderId="0" xfId="0" applyNumberForma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4" fillId="0" borderId="0" xfId="0" applyNumberFormat="1" applyFont="1">
      <alignment vertical="center"/>
    </xf>
    <xf numFmtId="0" fontId="10" fillId="0" borderId="2" xfId="0" applyFont="1" applyBorder="1">
      <alignment vertical="center"/>
    </xf>
    <xf numFmtId="0" fontId="13" fillId="0" borderId="4" xfId="0" applyFont="1" applyBorder="1">
      <alignment vertical="center"/>
    </xf>
    <xf numFmtId="0" fontId="13" fillId="0" borderId="6" xfId="0" applyFont="1" applyBorder="1">
      <alignment vertical="center"/>
    </xf>
    <xf numFmtId="0" fontId="13" fillId="0" borderId="0" xfId="0" quotePrefix="1" applyFont="1" applyBorder="1">
      <alignment vertical="center"/>
    </xf>
    <xf numFmtId="0" fontId="12" fillId="2" borderId="10" xfId="0" quotePrefix="1" applyFont="1" applyFill="1" applyBorder="1">
      <alignment vertical="center"/>
    </xf>
    <xf numFmtId="0" fontId="12" fillId="2" borderId="6" xfId="0" applyFont="1" applyFill="1" applyBorder="1">
      <alignment vertical="center"/>
    </xf>
    <xf numFmtId="0" fontId="12" fillId="2" borderId="17" xfId="0" quotePrefix="1" applyFont="1" applyFill="1" applyBorder="1">
      <alignment vertical="center"/>
    </xf>
    <xf numFmtId="0" fontId="1" fillId="0" borderId="0" xfId="1">
      <alignment vertical="center"/>
    </xf>
    <xf numFmtId="0" fontId="1" fillId="0" borderId="0" xfId="1" quotePrefix="1">
      <alignment vertical="center"/>
    </xf>
  </cellXfs>
  <cellStyles count="2">
    <cellStyle name="標準" xfId="0" builtinId="0"/>
    <cellStyle name="標準 2" xfId="1" xr:uid="{B86138CD-31F4-4087-A07C-2BE2E46885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AD104"/>
  <sheetViews>
    <sheetView topLeftCell="A7" zoomScale="145" zoomScaleNormal="145" workbookViewId="0">
      <selection activeCell="V13" sqref="V13"/>
    </sheetView>
  </sheetViews>
  <sheetFormatPr defaultRowHeight="13.5" x14ac:dyDescent="0.15"/>
  <cols>
    <col min="1" max="2" width="5.625" customWidth="1"/>
    <col min="3" max="3" width="8.75" bestFit="1" customWidth="1"/>
    <col min="4" max="12" width="5.625" customWidth="1"/>
    <col min="13" max="13" width="8.75" bestFit="1" customWidth="1"/>
    <col min="14" max="18" width="5.625" customWidth="1"/>
    <col min="19" max="19" width="7.5" bestFit="1" customWidth="1"/>
    <col min="20" max="25" width="5.625" customWidth="1"/>
    <col min="26" max="26" width="7.125" customWidth="1"/>
    <col min="27" max="28" width="5.625" customWidth="1"/>
    <col min="29" max="29" width="7.375" customWidth="1"/>
    <col min="30" max="30" width="7.25" customWidth="1"/>
    <col min="31" max="256" width="5.625" customWidth="1"/>
  </cols>
  <sheetData>
    <row r="2" spans="3:30" x14ac:dyDescent="0.15">
      <c r="G2">
        <f>1096+500+500</f>
        <v>2096</v>
      </c>
      <c r="H2">
        <f>G2/4</f>
        <v>524</v>
      </c>
      <c r="J2">
        <f>600</f>
        <v>600</v>
      </c>
      <c r="K2">
        <f>J2*4</f>
        <v>2400</v>
      </c>
      <c r="L2">
        <f>(K2-1096)/2</f>
        <v>652</v>
      </c>
      <c r="M2">
        <f>1096+652+652</f>
        <v>2400</v>
      </c>
      <c r="N2">
        <f>M2/4</f>
        <v>600</v>
      </c>
      <c r="O2">
        <v>400</v>
      </c>
    </row>
    <row r="3" spans="3:30" x14ac:dyDescent="0.15">
      <c r="G3">
        <f>2376+600+600</f>
        <v>3576</v>
      </c>
      <c r="H3">
        <f>G3/4</f>
        <v>894</v>
      </c>
      <c r="J3">
        <v>900</v>
      </c>
      <c r="K3">
        <f>J3*4</f>
        <v>3600</v>
      </c>
      <c r="L3">
        <f>(K3-2376)/2</f>
        <v>612</v>
      </c>
      <c r="O3">
        <v>300</v>
      </c>
      <c r="AB3" t="s">
        <v>3557</v>
      </c>
      <c r="AC3">
        <v>-612</v>
      </c>
      <c r="AD3">
        <f>900-(AC3+612)/4</f>
        <v>900</v>
      </c>
    </row>
    <row r="4" spans="3:30" x14ac:dyDescent="0.15">
      <c r="N4" s="993"/>
      <c r="AB4" t="s">
        <v>3558</v>
      </c>
      <c r="AC4">
        <v>0</v>
      </c>
      <c r="AD4">
        <f>900-(AC4+612)/4</f>
        <v>747</v>
      </c>
    </row>
    <row r="5" spans="3:30" x14ac:dyDescent="0.15">
      <c r="F5" s="992" t="s">
        <v>3533</v>
      </c>
      <c r="N5" s="993"/>
      <c r="U5" s="997" t="s">
        <v>3546</v>
      </c>
      <c r="V5" s="991"/>
      <c r="AC5">
        <v>1188</v>
      </c>
      <c r="AD5">
        <f>900-(AC5+612)/4</f>
        <v>450</v>
      </c>
    </row>
    <row r="6" spans="3:30" x14ac:dyDescent="0.15">
      <c r="F6" s="1"/>
      <c r="G6" s="2"/>
      <c r="H6" s="2"/>
      <c r="I6" s="2"/>
      <c r="J6" s="2"/>
      <c r="K6" s="2"/>
      <c r="L6" s="2"/>
      <c r="M6" s="2"/>
      <c r="N6" s="994" t="s">
        <v>3543</v>
      </c>
      <c r="O6" s="2"/>
      <c r="P6" s="2"/>
      <c r="Q6" s="2"/>
      <c r="R6" s="2"/>
      <c r="S6" s="2"/>
      <c r="T6" s="2"/>
      <c r="U6" s="3"/>
      <c r="AC6">
        <f>1188*2</f>
        <v>2376</v>
      </c>
      <c r="AD6">
        <f>900-(AC6+612)/4</f>
        <v>153</v>
      </c>
    </row>
    <row r="7" spans="3:30" x14ac:dyDescent="0.15">
      <c r="F7" s="4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6"/>
      <c r="AC7">
        <f>1188*2+612</f>
        <v>2988</v>
      </c>
      <c r="AD7">
        <f>900-(AC7+612)/4</f>
        <v>0</v>
      </c>
    </row>
    <row r="8" spans="3:30" x14ac:dyDescent="0.15">
      <c r="F8" s="4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6"/>
    </row>
    <row r="9" spans="3:30" x14ac:dyDescent="0.15">
      <c r="F9" s="4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6"/>
    </row>
    <row r="10" spans="3:30" ht="14.25" thickBot="1" x14ac:dyDescent="0.2">
      <c r="F10" s="4"/>
      <c r="G10" s="5"/>
      <c r="H10" s="997" t="s">
        <v>3556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97" t="s">
        <v>3555</v>
      </c>
      <c r="U10" s="6"/>
    </row>
    <row r="11" spans="3:30" ht="20.25" customHeight="1" x14ac:dyDescent="0.15">
      <c r="C11" t="s">
        <v>0</v>
      </c>
      <c r="F11" s="4"/>
      <c r="G11" s="9"/>
      <c r="H11" s="11"/>
      <c r="I11" s="12"/>
      <c r="J11" s="11"/>
      <c r="K11" s="11"/>
      <c r="L11" s="11"/>
      <c r="M11" s="11" t="s">
        <v>16</v>
      </c>
      <c r="N11" s="27" t="s">
        <v>3542</v>
      </c>
      <c r="O11" s="11"/>
      <c r="P11" s="11"/>
      <c r="Q11" s="11"/>
      <c r="R11" s="13"/>
      <c r="S11" s="14"/>
      <c r="T11" s="5"/>
      <c r="U11" s="6"/>
      <c r="X11" t="s">
        <v>6</v>
      </c>
    </row>
    <row r="12" spans="3:30" ht="20.25" customHeight="1" x14ac:dyDescent="0.15">
      <c r="C12" t="s">
        <v>3</v>
      </c>
      <c r="F12" s="4"/>
      <c r="G12" s="9"/>
      <c r="H12" s="11"/>
      <c r="I12" s="12"/>
      <c r="J12" s="11"/>
      <c r="K12" s="11"/>
      <c r="L12" s="11"/>
      <c r="M12" s="11">
        <v>23.77</v>
      </c>
      <c r="N12" s="11"/>
      <c r="O12" s="11"/>
      <c r="P12" s="11"/>
      <c r="Q12" s="11"/>
      <c r="R12" s="13"/>
      <c r="S12" s="14"/>
      <c r="T12" s="5"/>
      <c r="U12" s="6"/>
      <c r="X12" t="s">
        <v>7</v>
      </c>
    </row>
    <row r="13" spans="3:30" ht="20.25" customHeight="1" x14ac:dyDescent="0.15">
      <c r="C13" t="s">
        <v>1</v>
      </c>
      <c r="F13" s="4"/>
      <c r="G13" s="9"/>
      <c r="H13" s="11"/>
      <c r="I13" s="12"/>
      <c r="J13" s="11"/>
      <c r="K13" s="11"/>
      <c r="L13" s="11"/>
      <c r="M13" s="11"/>
      <c r="N13" s="11"/>
      <c r="O13" s="11"/>
      <c r="P13" s="11"/>
      <c r="Q13" s="11"/>
      <c r="R13" s="13"/>
      <c r="S13" s="14"/>
      <c r="T13" s="5"/>
      <c r="U13" s="6"/>
      <c r="X13" t="s">
        <v>9</v>
      </c>
    </row>
    <row r="14" spans="3:30" ht="20.25" customHeight="1" x14ac:dyDescent="0.15">
      <c r="C14" t="s">
        <v>2</v>
      </c>
      <c r="F14" s="4"/>
      <c r="G14" s="9"/>
      <c r="H14" s="11"/>
      <c r="I14" s="12"/>
      <c r="J14" s="11"/>
      <c r="K14" s="11"/>
      <c r="L14" s="11"/>
      <c r="M14" s="11"/>
      <c r="N14" s="11"/>
      <c r="O14" s="11"/>
      <c r="P14" s="11"/>
      <c r="Q14" s="11"/>
      <c r="R14" s="13"/>
      <c r="S14" s="14"/>
      <c r="T14" s="5"/>
      <c r="U14" s="6"/>
      <c r="X14" t="s">
        <v>8</v>
      </c>
    </row>
    <row r="15" spans="3:30" ht="20.25" customHeight="1" x14ac:dyDescent="0.15">
      <c r="C15" t="s">
        <v>4</v>
      </c>
      <c r="F15" s="4"/>
      <c r="G15" s="9"/>
      <c r="H15" s="28"/>
      <c r="I15" s="12"/>
      <c r="J15" s="11"/>
      <c r="K15" s="11"/>
      <c r="L15" s="11"/>
      <c r="M15" s="11"/>
      <c r="N15" s="11"/>
      <c r="O15" s="11"/>
      <c r="P15" s="11"/>
      <c r="Q15" s="11"/>
      <c r="R15" s="13"/>
      <c r="S15" s="14"/>
      <c r="T15" s="5"/>
      <c r="U15" s="6"/>
      <c r="X15" t="s">
        <v>10</v>
      </c>
    </row>
    <row r="16" spans="3:30" ht="20.25" customHeight="1" x14ac:dyDescent="0.15">
      <c r="C16" t="s">
        <v>5</v>
      </c>
      <c r="F16" s="4"/>
      <c r="G16" s="9"/>
      <c r="H16" s="11"/>
      <c r="I16" s="16"/>
      <c r="J16" s="15"/>
      <c r="K16" s="15"/>
      <c r="L16" s="15"/>
      <c r="M16" s="17"/>
      <c r="N16" s="16"/>
      <c r="O16" s="15"/>
      <c r="P16" s="15"/>
      <c r="Q16" s="15"/>
      <c r="R16" s="17"/>
      <c r="S16" s="14"/>
      <c r="T16" s="5"/>
      <c r="U16" s="6"/>
      <c r="X16" t="s">
        <v>11</v>
      </c>
    </row>
    <row r="17" spans="6:30" ht="20.25" customHeight="1" x14ac:dyDescent="0.15">
      <c r="F17" s="4"/>
      <c r="G17" s="9"/>
      <c r="H17" s="11"/>
      <c r="I17" s="12"/>
      <c r="J17" s="11"/>
      <c r="K17" s="11"/>
      <c r="L17" s="11"/>
      <c r="M17" s="13"/>
      <c r="N17" s="12"/>
      <c r="O17" s="11"/>
      <c r="P17" s="11"/>
      <c r="Q17" s="11"/>
      <c r="R17" s="13"/>
      <c r="S17" s="14"/>
      <c r="T17" s="5"/>
      <c r="U17" s="6"/>
      <c r="X17" t="s">
        <v>12</v>
      </c>
    </row>
    <row r="18" spans="6:30" ht="20.25" customHeight="1" x14ac:dyDescent="0.15">
      <c r="F18" s="4"/>
      <c r="G18" s="9"/>
      <c r="H18" s="11"/>
      <c r="I18" s="12"/>
      <c r="J18" s="11"/>
      <c r="K18" s="11"/>
      <c r="L18" s="11"/>
      <c r="M18" s="13"/>
      <c r="N18" s="12"/>
      <c r="O18" s="11"/>
      <c r="P18" s="11"/>
      <c r="Q18" s="11"/>
      <c r="R18" s="13"/>
      <c r="S18" s="14"/>
      <c r="T18" s="5"/>
      <c r="U18" s="6"/>
      <c r="X18" s="26" t="s">
        <v>13</v>
      </c>
    </row>
    <row r="19" spans="6:30" ht="20.25" customHeight="1" x14ac:dyDescent="0.15">
      <c r="F19" s="4"/>
      <c r="G19" s="9"/>
      <c r="H19" s="11"/>
      <c r="I19" s="12"/>
      <c r="J19" s="11"/>
      <c r="K19" s="11"/>
      <c r="L19" s="11"/>
      <c r="M19" s="13"/>
      <c r="N19" s="12"/>
      <c r="O19" s="11"/>
      <c r="P19" s="11"/>
      <c r="Q19" s="11"/>
      <c r="R19" s="13"/>
      <c r="S19" s="14"/>
      <c r="T19" s="5"/>
      <c r="U19" s="6"/>
      <c r="X19" s="26" t="s">
        <v>14</v>
      </c>
    </row>
    <row r="20" spans="6:30" ht="20.25" customHeight="1" thickBot="1" x14ac:dyDescent="0.2">
      <c r="F20" s="4"/>
      <c r="G20" s="9"/>
      <c r="H20" s="18"/>
      <c r="I20" s="19"/>
      <c r="J20" s="20"/>
      <c r="K20" s="20"/>
      <c r="L20" s="20"/>
      <c r="M20" s="21"/>
      <c r="N20" s="19" t="s">
        <v>21</v>
      </c>
      <c r="O20" s="20"/>
      <c r="P20" s="20"/>
      <c r="Q20" s="20"/>
      <c r="R20" s="21"/>
      <c r="S20" s="22"/>
      <c r="T20" s="5"/>
      <c r="U20" s="6"/>
    </row>
    <row r="21" spans="6:30" ht="20.25" customHeight="1" x14ac:dyDescent="0.15">
      <c r="F21" s="995" t="s">
        <v>3541</v>
      </c>
      <c r="G21" s="9"/>
      <c r="H21" s="11"/>
      <c r="I21" s="12"/>
      <c r="J21" s="11"/>
      <c r="K21" s="11"/>
      <c r="L21" s="11"/>
      <c r="M21" s="13" t="s">
        <v>15</v>
      </c>
      <c r="N21" s="12" t="s">
        <v>3540</v>
      </c>
      <c r="O21" s="11"/>
      <c r="P21" s="11"/>
      <c r="Q21" s="11"/>
      <c r="R21" s="13">
        <v>4.1150000000000002</v>
      </c>
      <c r="S21" s="14">
        <v>5.4850000000000003</v>
      </c>
      <c r="T21" s="5" t="s">
        <v>19</v>
      </c>
      <c r="U21" s="6"/>
      <c r="X21" t="s">
        <v>0</v>
      </c>
    </row>
    <row r="22" spans="6:30" ht="20.25" customHeight="1" x14ac:dyDescent="0.15">
      <c r="F22" s="4"/>
      <c r="G22" s="9"/>
      <c r="H22" s="11"/>
      <c r="I22" s="12"/>
      <c r="J22" s="11"/>
      <c r="K22" s="11"/>
      <c r="L22" s="11"/>
      <c r="M22" s="13" t="s">
        <v>3532</v>
      </c>
      <c r="N22" s="12"/>
      <c r="O22" s="11"/>
      <c r="P22" s="11"/>
      <c r="Q22" s="11"/>
      <c r="R22" s="13"/>
      <c r="S22" s="14">
        <v>11.885</v>
      </c>
      <c r="T22" s="5" t="s">
        <v>20</v>
      </c>
      <c r="U22" s="6"/>
      <c r="X22" t="s">
        <v>3</v>
      </c>
    </row>
    <row r="23" spans="6:30" ht="20.25" customHeight="1" x14ac:dyDescent="0.15">
      <c r="F23" s="4"/>
      <c r="G23" s="9"/>
      <c r="H23" s="11"/>
      <c r="I23" s="12"/>
      <c r="J23" s="11"/>
      <c r="K23" s="11"/>
      <c r="L23" s="11"/>
      <c r="M23" s="13"/>
      <c r="N23" s="12"/>
      <c r="O23" s="11"/>
      <c r="P23" s="11"/>
      <c r="Q23" s="11"/>
      <c r="R23" s="13"/>
      <c r="S23" s="14"/>
      <c r="T23" s="5" t="s">
        <v>22</v>
      </c>
      <c r="U23" s="6"/>
      <c r="X23" t="s">
        <v>1</v>
      </c>
    </row>
    <row r="24" spans="6:30" ht="20.25" customHeight="1" x14ac:dyDescent="0.15">
      <c r="F24" s="4"/>
      <c r="G24" s="9"/>
      <c r="H24" s="11"/>
      <c r="I24" s="12"/>
      <c r="J24" s="11"/>
      <c r="K24" s="11"/>
      <c r="L24" s="11"/>
      <c r="M24" s="13"/>
      <c r="N24" s="12" t="s">
        <v>17</v>
      </c>
      <c r="O24" s="11"/>
      <c r="P24" s="11"/>
      <c r="Q24" s="11"/>
      <c r="R24" s="13"/>
      <c r="S24" s="14"/>
      <c r="T24" s="5"/>
      <c r="U24" s="6"/>
      <c r="X24" t="s">
        <v>2</v>
      </c>
    </row>
    <row r="25" spans="6:30" ht="20.25" customHeight="1" x14ac:dyDescent="0.15">
      <c r="F25" s="4"/>
      <c r="G25" s="9"/>
      <c r="H25" s="1000" t="s">
        <v>3554</v>
      </c>
      <c r="I25" s="999"/>
      <c r="J25" s="23"/>
      <c r="K25" s="23"/>
      <c r="L25" s="23"/>
      <c r="M25" s="25" t="s">
        <v>16</v>
      </c>
      <c r="N25" s="24"/>
      <c r="O25" s="23"/>
      <c r="P25" s="23"/>
      <c r="Q25" s="23"/>
      <c r="R25" s="25"/>
      <c r="S25" s="14"/>
      <c r="T25" s="5"/>
      <c r="U25" s="6"/>
      <c r="X25" t="s">
        <v>4</v>
      </c>
    </row>
    <row r="26" spans="6:30" ht="20.25" customHeight="1" x14ac:dyDescent="0.15">
      <c r="F26" s="4"/>
      <c r="G26" s="9"/>
      <c r="H26" s="11"/>
      <c r="I26" s="12"/>
      <c r="J26" s="11"/>
      <c r="K26" s="11"/>
      <c r="L26" s="11"/>
      <c r="M26" s="11">
        <f>11.89-6.4</f>
        <v>5.49</v>
      </c>
      <c r="N26" s="11"/>
      <c r="O26" s="11"/>
      <c r="P26" s="11"/>
      <c r="Q26" s="11"/>
      <c r="R26" s="13"/>
      <c r="S26" s="14"/>
      <c r="T26" s="5"/>
      <c r="U26" s="6"/>
      <c r="X26" t="s">
        <v>5</v>
      </c>
    </row>
    <row r="27" spans="6:30" ht="20.25" customHeight="1" x14ac:dyDescent="0.15">
      <c r="F27" s="4"/>
      <c r="G27" s="9"/>
      <c r="H27" s="11"/>
      <c r="I27" s="12"/>
      <c r="J27" s="11"/>
      <c r="K27" s="11"/>
      <c r="L27" s="11"/>
      <c r="M27" s="11"/>
      <c r="N27" s="11"/>
      <c r="O27" s="11"/>
      <c r="P27" s="11"/>
      <c r="Q27" s="11"/>
      <c r="R27" s="13"/>
      <c r="S27" s="14"/>
      <c r="T27" s="5"/>
      <c r="U27" s="6"/>
    </row>
    <row r="28" spans="6:30" ht="20.25" customHeight="1" x14ac:dyDescent="0.15">
      <c r="F28" s="4"/>
      <c r="G28" s="9"/>
      <c r="H28" s="11"/>
      <c r="I28" s="12"/>
      <c r="J28" s="11"/>
      <c r="K28" s="11"/>
      <c r="L28" s="11"/>
      <c r="M28" s="11"/>
      <c r="N28" s="11"/>
      <c r="O28" s="11"/>
      <c r="P28" s="11"/>
      <c r="Q28" s="11"/>
      <c r="R28" s="13"/>
      <c r="S28" s="14"/>
      <c r="T28" s="5"/>
      <c r="U28" s="6"/>
    </row>
    <row r="29" spans="6:30" ht="20.25" customHeight="1" x14ac:dyDescent="0.15">
      <c r="F29" s="4"/>
      <c r="G29" s="9"/>
      <c r="H29" s="11"/>
      <c r="I29" s="12"/>
      <c r="J29" s="11"/>
      <c r="K29" s="11"/>
      <c r="L29" s="11"/>
      <c r="M29" s="11"/>
      <c r="N29" s="11"/>
      <c r="O29" s="11"/>
      <c r="P29" s="11"/>
      <c r="Q29" s="11"/>
      <c r="R29" s="13"/>
      <c r="S29" s="14"/>
      <c r="T29" s="5"/>
      <c r="U29" s="6"/>
    </row>
    <row r="30" spans="6:30" ht="20.25" customHeight="1" thickBot="1" x14ac:dyDescent="0.2">
      <c r="F30" s="4"/>
      <c r="G30" s="9"/>
      <c r="H30" s="998" t="s">
        <v>3553</v>
      </c>
      <c r="I30" s="19"/>
      <c r="J30" s="20"/>
      <c r="K30" s="20"/>
      <c r="L30" s="20"/>
      <c r="M30" s="20"/>
      <c r="N30" s="19" t="s">
        <v>17</v>
      </c>
      <c r="O30" s="20"/>
      <c r="P30" s="20" t="s">
        <v>18</v>
      </c>
      <c r="Q30" s="20"/>
      <c r="R30" s="21"/>
      <c r="S30" s="22"/>
      <c r="T30" s="997" t="s">
        <v>3552</v>
      </c>
      <c r="U30" s="6"/>
      <c r="X30">
        <f>10.485*2</f>
        <v>20.97</v>
      </c>
      <c r="Z30" t="e">
        <f>U31*200</f>
        <v>#VALUE!</v>
      </c>
      <c r="AB30">
        <v>400</v>
      </c>
      <c r="AC30" s="990">
        <f>Z31/AB31*AB30</f>
        <v>3436</v>
      </c>
      <c r="AD30" s="990" t="e">
        <f>Z30/2</f>
        <v>#VALUE!</v>
      </c>
    </row>
    <row r="31" spans="6:30" ht="15" customHeight="1" x14ac:dyDescent="0.15">
      <c r="F31" s="4" t="s">
        <v>3544</v>
      </c>
      <c r="G31" s="5"/>
      <c r="H31" s="5" t="s">
        <v>3534</v>
      </c>
      <c r="I31" s="5"/>
      <c r="J31" s="5"/>
      <c r="K31" s="5"/>
      <c r="L31" s="5"/>
      <c r="M31" s="5"/>
      <c r="N31" s="5" t="s">
        <v>3533</v>
      </c>
      <c r="O31" s="5"/>
      <c r="P31" s="5"/>
      <c r="Q31" s="5"/>
      <c r="R31" s="5">
        <f>8.23/2</f>
        <v>4.1150000000000002</v>
      </c>
      <c r="S31" s="5" t="s">
        <v>3537</v>
      </c>
      <c r="T31" s="5"/>
      <c r="U31" s="6" t="s">
        <v>3538</v>
      </c>
      <c r="X31">
        <v>2577</v>
      </c>
      <c r="Z31">
        <v>2577</v>
      </c>
      <c r="AB31">
        <v>300</v>
      </c>
      <c r="AD31">
        <f>Z31/2</f>
        <v>1288.5</v>
      </c>
    </row>
    <row r="32" spans="6:30" ht="15" customHeight="1" x14ac:dyDescent="0.15">
      <c r="F32" s="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 t="s">
        <v>3536</v>
      </c>
      <c r="S32" s="5"/>
      <c r="T32" s="5"/>
      <c r="U32" s="6"/>
    </row>
    <row r="33" spans="6:24" ht="15" customHeight="1" x14ac:dyDescent="0.15">
      <c r="F33" s="4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6"/>
    </row>
    <row r="34" spans="6:24" ht="15" customHeight="1" x14ac:dyDescent="0.15">
      <c r="F34" s="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997" t="s">
        <v>3551</v>
      </c>
      <c r="U34" s="6"/>
    </row>
    <row r="35" spans="6:24" x14ac:dyDescent="0.15">
      <c r="F35" s="996" t="s">
        <v>3547</v>
      </c>
      <c r="G35" s="7"/>
      <c r="H35" s="7"/>
      <c r="I35" s="7"/>
      <c r="J35" s="7"/>
      <c r="K35" s="7"/>
      <c r="L35" s="7"/>
      <c r="M35" s="7"/>
      <c r="N35" s="7" t="s">
        <v>3535</v>
      </c>
      <c r="O35" s="7"/>
      <c r="P35" s="7"/>
      <c r="Q35" s="7"/>
      <c r="R35" s="7"/>
      <c r="S35" s="997" t="s">
        <v>3550</v>
      </c>
      <c r="T35" s="7"/>
      <c r="U35" s="8" t="s">
        <v>3539</v>
      </c>
    </row>
    <row r="36" spans="6:24" x14ac:dyDescent="0.15">
      <c r="F36" s="5"/>
      <c r="G36" s="5"/>
      <c r="H36" s="997" t="s">
        <v>3545</v>
      </c>
      <c r="I36" s="5"/>
      <c r="J36" s="5"/>
      <c r="K36" s="5"/>
      <c r="L36" s="5"/>
      <c r="M36" s="5"/>
      <c r="N36" s="997" t="s">
        <v>3548</v>
      </c>
      <c r="O36" s="5"/>
      <c r="P36" s="5"/>
      <c r="Q36" s="5"/>
      <c r="R36" s="5"/>
      <c r="S36" s="5"/>
      <c r="T36" s="5"/>
      <c r="U36" s="997" t="s">
        <v>3549</v>
      </c>
    </row>
    <row r="37" spans="6:24" x14ac:dyDescent="0.15">
      <c r="N37" t="s">
        <v>55</v>
      </c>
      <c r="O37" t="s">
        <v>56</v>
      </c>
      <c r="P37" t="s">
        <v>57</v>
      </c>
      <c r="Q37" t="s">
        <v>55</v>
      </c>
      <c r="R37" t="s">
        <v>56</v>
      </c>
      <c r="S37" t="s">
        <v>57</v>
      </c>
    </row>
    <row r="38" spans="6:24" x14ac:dyDescent="0.15">
      <c r="G38" t="s">
        <v>51</v>
      </c>
      <c r="K38">
        <f>ATAN(L38/M38)/PI()*180</f>
        <v>0.75200911657990521</v>
      </c>
      <c r="L38">
        <f>P38-S38</f>
        <v>0.15600000000000003</v>
      </c>
      <c r="M38">
        <v>11.885</v>
      </c>
      <c r="N38" s="31">
        <f>-4.115-0.914</f>
        <v>-5.0289999999999999</v>
      </c>
      <c r="O38" s="31">
        <v>11.885</v>
      </c>
      <c r="P38" s="31">
        <v>1.07</v>
      </c>
      <c r="Q38" s="31">
        <v>0</v>
      </c>
      <c r="R38" s="31">
        <v>11.885</v>
      </c>
      <c r="S38" s="31">
        <v>0.91400000000000003</v>
      </c>
      <c r="X38" t="str">
        <f>"("&amp;N38*100&amp;","&amp;R39*100&amp;","&amp;Q39*100&amp;","&amp;O38*100&amp;")"</f>
        <v>(-502.9,1188.5,0,1188.5)</v>
      </c>
    </row>
    <row r="39" spans="6:24" x14ac:dyDescent="0.15">
      <c r="N39" s="31">
        <f>-4.115-0.914</f>
        <v>-5.0289999999999999</v>
      </c>
      <c r="O39" s="31">
        <v>11.885</v>
      </c>
      <c r="P39" s="31">
        <v>0</v>
      </c>
      <c r="Q39" s="31">
        <v>0</v>
      </c>
      <c r="R39" s="31">
        <v>11.885</v>
      </c>
      <c r="S39" s="31">
        <v>0</v>
      </c>
    </row>
    <row r="40" spans="6:24" x14ac:dyDescent="0.15">
      <c r="G40" t="s">
        <v>52</v>
      </c>
      <c r="N40" s="31">
        <v>0</v>
      </c>
      <c r="O40" s="31">
        <v>11.885</v>
      </c>
      <c r="P40" s="31">
        <v>0.91400000000000003</v>
      </c>
      <c r="Q40" s="31">
        <f>4.115+0.914</f>
        <v>5.0289999999999999</v>
      </c>
      <c r="R40" s="31">
        <v>11.885</v>
      </c>
      <c r="S40" s="31">
        <v>1.07</v>
      </c>
    </row>
    <row r="42" spans="6:24" x14ac:dyDescent="0.15">
      <c r="G42" t="s">
        <v>54</v>
      </c>
      <c r="N42" s="31">
        <f>-5.485-0.914</f>
        <v>-6.399</v>
      </c>
      <c r="O42" s="31">
        <v>11.885</v>
      </c>
      <c r="P42" s="31">
        <v>1.07</v>
      </c>
      <c r="Q42" s="31">
        <v>0</v>
      </c>
      <c r="R42" s="31">
        <v>11.885</v>
      </c>
      <c r="S42" s="31">
        <v>0.91400000000000003</v>
      </c>
      <c r="X42" t="str">
        <f>"("&amp;N42*100&amp;","&amp;R43*100&amp;","&amp;Q43*100&amp;","&amp;O42*100&amp;")"</f>
        <v>(-639.9,0,0,1188.5)</v>
      </c>
    </row>
    <row r="44" spans="6:24" x14ac:dyDescent="0.15">
      <c r="G44" t="s">
        <v>53</v>
      </c>
      <c r="N44" s="31">
        <v>0</v>
      </c>
      <c r="O44" s="31">
        <v>11.885</v>
      </c>
      <c r="P44" s="31">
        <v>0.91400000000000003</v>
      </c>
      <c r="Q44" s="31">
        <f>5.485+0.914</f>
        <v>6.399</v>
      </c>
      <c r="R44" s="31">
        <v>11.885</v>
      </c>
      <c r="S44" s="31">
        <v>1.07</v>
      </c>
    </row>
    <row r="46" spans="6:24" x14ac:dyDescent="0.15">
      <c r="G46" t="s">
        <v>30</v>
      </c>
      <c r="K46" s="36"/>
      <c r="L46" s="36"/>
      <c r="N46" s="32">
        <v>-5.4850000000000003</v>
      </c>
      <c r="O46" s="32">
        <v>23.77</v>
      </c>
      <c r="P46" t="s">
        <v>24</v>
      </c>
      <c r="Q46" s="30">
        <f>-5.485+0.05</f>
        <v>-5.4350000000000005</v>
      </c>
      <c r="R46" s="30">
        <v>23.77</v>
      </c>
      <c r="T46" s="35"/>
      <c r="U46" s="35"/>
      <c r="X46" t="str">
        <f>"("&amp;N46*100&amp;","&amp;R47*100&amp;","&amp;Q47*100&amp;","&amp;O46*100&amp;")"</f>
        <v>(-548.5,0,-543.5,2377)</v>
      </c>
    </row>
    <row r="47" spans="6:24" x14ac:dyDescent="0.15">
      <c r="K47" s="35"/>
      <c r="L47" s="35"/>
      <c r="N47" s="32">
        <v>-5.4850000000000003</v>
      </c>
      <c r="O47" s="32">
        <v>0</v>
      </c>
      <c r="Q47" s="30">
        <f>-5.485+0.05</f>
        <v>-5.4350000000000005</v>
      </c>
      <c r="R47" s="30">
        <v>0</v>
      </c>
      <c r="T47" s="35"/>
      <c r="U47" s="35"/>
    </row>
    <row r="49" spans="7:24" x14ac:dyDescent="0.15">
      <c r="G49" t="s">
        <v>31</v>
      </c>
      <c r="K49" s="35"/>
      <c r="L49" s="35"/>
      <c r="N49" s="30">
        <v>-4.1150000000000002</v>
      </c>
      <c r="O49" s="30">
        <v>23.77</v>
      </c>
      <c r="Q49" s="30">
        <f>N49+0.05</f>
        <v>-4.0650000000000004</v>
      </c>
      <c r="R49" s="30">
        <v>23.77</v>
      </c>
      <c r="T49" s="35">
        <f>Q49/0.3048</f>
        <v>-13.336614173228346</v>
      </c>
      <c r="U49" s="35">
        <f>R49/0.9144</f>
        <v>25.995188101487315</v>
      </c>
      <c r="X49" t="str">
        <f>"("&amp;N49*100&amp;","&amp;R50*100&amp;","&amp;Q50*100&amp;","&amp;O49*100&amp;")"</f>
        <v>(-411.5,0,-406.5,2377)</v>
      </c>
    </row>
    <row r="50" spans="7:24" x14ac:dyDescent="0.15">
      <c r="K50" s="35"/>
      <c r="L50" s="35"/>
      <c r="N50" s="30">
        <v>-4.1150000000000002</v>
      </c>
      <c r="O50" s="30">
        <v>0</v>
      </c>
      <c r="Q50" s="30">
        <f>N50+0.05</f>
        <v>-4.0650000000000004</v>
      </c>
      <c r="R50" s="30">
        <v>0</v>
      </c>
      <c r="T50" s="35">
        <f>Q50/0.3048</f>
        <v>-13.336614173228346</v>
      </c>
      <c r="U50" s="35">
        <f>R50/0.9144</f>
        <v>0</v>
      </c>
    </row>
    <row r="52" spans="7:24" x14ac:dyDescent="0.15">
      <c r="G52" t="s">
        <v>32</v>
      </c>
      <c r="K52" s="35"/>
      <c r="L52" s="35"/>
      <c r="N52" s="30">
        <v>-2.5000000000000001E-2</v>
      </c>
      <c r="O52" s="30">
        <v>18.285</v>
      </c>
      <c r="Q52" s="31">
        <v>2.5000000000000001E-2</v>
      </c>
      <c r="R52" s="30">
        <v>18.285</v>
      </c>
      <c r="T52" s="35">
        <f>Q52/0.3048</f>
        <v>8.2020997375328086E-2</v>
      </c>
      <c r="U52" s="35">
        <f>R52/0.9144</f>
        <v>19.996719160104988</v>
      </c>
      <c r="X52" t="str">
        <f>"("&amp;N52*100&amp;","&amp;R53*100&amp;","&amp;Q53*100&amp;","&amp;O52*100&amp;")"</f>
        <v>(-2.5,548.5,2.5,1828.5)</v>
      </c>
    </row>
    <row r="53" spans="7:24" x14ac:dyDescent="0.15">
      <c r="K53" s="35"/>
      <c r="L53" s="35"/>
      <c r="N53" s="30">
        <v>-2.5000000000000001E-2</v>
      </c>
      <c r="O53" s="30">
        <v>5.4850000000000003</v>
      </c>
      <c r="Q53" s="31">
        <v>2.5000000000000001E-2</v>
      </c>
      <c r="R53" s="30">
        <v>5.4850000000000003</v>
      </c>
      <c r="T53" s="35">
        <f>Q53/0.3048</f>
        <v>8.2020997375328086E-2</v>
      </c>
      <c r="U53" s="35">
        <f>R53/0.9144</f>
        <v>5.9984689413823276</v>
      </c>
    </row>
    <row r="55" spans="7:24" x14ac:dyDescent="0.15">
      <c r="G55" t="s">
        <v>33</v>
      </c>
      <c r="K55" s="35"/>
      <c r="L55" s="35"/>
      <c r="N55" s="30">
        <f>Q55-0.05</f>
        <v>5.4350000000000005</v>
      </c>
      <c r="O55" s="30">
        <v>23.77</v>
      </c>
      <c r="Q55" s="40">
        <v>5.4850000000000003</v>
      </c>
      <c r="R55" s="32">
        <v>23.77</v>
      </c>
      <c r="T55" s="35">
        <f>Q55/0.3048</f>
        <v>17.995406824146983</v>
      </c>
      <c r="U55" s="35">
        <f>R55/0.9144</f>
        <v>25.995188101487315</v>
      </c>
      <c r="X55" t="str">
        <f>"("&amp;N55*100&amp;","&amp;R56*100&amp;","&amp;Q56*100&amp;","&amp;O55*100&amp;")"</f>
        <v>(543.5,0,548.5,2377)</v>
      </c>
    </row>
    <row r="56" spans="7:24" x14ac:dyDescent="0.15">
      <c r="K56" s="35"/>
      <c r="L56" s="35"/>
      <c r="N56" s="30">
        <f>Q56-0.05</f>
        <v>5.4350000000000005</v>
      </c>
      <c r="O56" s="30">
        <v>0</v>
      </c>
      <c r="Q56" s="40">
        <v>5.4850000000000003</v>
      </c>
      <c r="R56" s="32">
        <v>0</v>
      </c>
      <c r="T56" s="35">
        <f>Q56/0.3048</f>
        <v>17.995406824146983</v>
      </c>
      <c r="U56" s="35">
        <f>R56/0.9144</f>
        <v>0</v>
      </c>
    </row>
    <row r="58" spans="7:24" x14ac:dyDescent="0.15">
      <c r="G58" t="s">
        <v>34</v>
      </c>
      <c r="K58" s="35"/>
      <c r="L58" s="35"/>
      <c r="N58" s="30">
        <f>Q58-0.05</f>
        <v>4.0650000000000004</v>
      </c>
      <c r="O58" s="30">
        <v>23.77</v>
      </c>
      <c r="Q58" s="31">
        <v>4.1150000000000002</v>
      </c>
      <c r="R58" s="30">
        <v>23.77</v>
      </c>
      <c r="T58" s="35">
        <f>Q58/0.3048</f>
        <v>13.500656167979002</v>
      </c>
      <c r="U58" s="35">
        <f>R58/0.9144</f>
        <v>25.995188101487315</v>
      </c>
      <c r="X58" t="str">
        <f>"("&amp;N58*100&amp;","&amp;R59*100&amp;","&amp;Q59*100&amp;","&amp;O58*100&amp;")"</f>
        <v>(406.5,0,411.5,2377)</v>
      </c>
    </row>
    <row r="59" spans="7:24" x14ac:dyDescent="0.15">
      <c r="K59" s="35"/>
      <c r="L59" s="35"/>
      <c r="N59" s="30">
        <f>Q59-0.05</f>
        <v>4.0650000000000004</v>
      </c>
      <c r="O59" s="30">
        <v>0</v>
      </c>
      <c r="Q59" s="31">
        <v>4.1150000000000002</v>
      </c>
      <c r="R59" s="30">
        <v>0</v>
      </c>
      <c r="T59" s="35">
        <f>Q59/0.3048</f>
        <v>13.500656167979002</v>
      </c>
      <c r="U59" s="35">
        <f>R59/0.9144</f>
        <v>0</v>
      </c>
    </row>
    <row r="60" spans="7:24" x14ac:dyDescent="0.15">
      <c r="N60" s="30"/>
      <c r="O60" s="30"/>
      <c r="Q60" s="31"/>
      <c r="R60" s="30"/>
    </row>
    <row r="61" spans="7:24" x14ac:dyDescent="0.15">
      <c r="G61" t="s">
        <v>23</v>
      </c>
      <c r="K61" s="35"/>
      <c r="L61" s="35"/>
      <c r="N61" s="30">
        <v>-5.4850000000000003</v>
      </c>
      <c r="O61" s="30">
        <v>23.77</v>
      </c>
      <c r="P61" t="s">
        <v>24</v>
      </c>
      <c r="Q61" s="31">
        <v>5.4850000000000003</v>
      </c>
      <c r="R61" s="30">
        <v>23.77</v>
      </c>
      <c r="T61" s="35">
        <f>Q61/0.3048</f>
        <v>17.995406824146983</v>
      </c>
      <c r="U61" s="35">
        <f>R61/0.3048</f>
        <v>77.985564304461931</v>
      </c>
      <c r="X61" t="str">
        <f>"("&amp;N61*100&amp;","&amp;R62*100&amp;","&amp;Q62*100&amp;","&amp;O61*100&amp;")"</f>
        <v>(-548.5,2367,548.5,2377)</v>
      </c>
    </row>
    <row r="62" spans="7:24" x14ac:dyDescent="0.15">
      <c r="K62" s="35"/>
      <c r="L62" s="35"/>
      <c r="N62" s="30">
        <v>-5.4850000000000003</v>
      </c>
      <c r="O62" s="30">
        <f>O61-0.1</f>
        <v>23.669999999999998</v>
      </c>
      <c r="Q62" s="31">
        <v>5.4850000000000003</v>
      </c>
      <c r="R62" s="30">
        <f>R61-0.1</f>
        <v>23.669999999999998</v>
      </c>
      <c r="T62" s="35">
        <f>Q62/0.3048</f>
        <v>17.995406824146983</v>
      </c>
      <c r="U62" s="35">
        <f>R62/0.3048</f>
        <v>77.657480314960623</v>
      </c>
    </row>
    <row r="63" spans="7:24" x14ac:dyDescent="0.15">
      <c r="Q63" s="31"/>
      <c r="R63" s="31"/>
    </row>
    <row r="64" spans="7:24" x14ac:dyDescent="0.15">
      <c r="G64" t="s">
        <v>28</v>
      </c>
      <c r="K64" s="35"/>
      <c r="L64" s="35"/>
      <c r="N64" s="30">
        <v>-2.5000000000000001E-2</v>
      </c>
      <c r="O64" s="30">
        <f>O61</f>
        <v>23.77</v>
      </c>
      <c r="Q64" s="31">
        <v>2.5000000000000001E-2</v>
      </c>
      <c r="R64" s="30">
        <f>R61</f>
        <v>23.77</v>
      </c>
      <c r="T64" s="35">
        <f>Q64/0.3048</f>
        <v>8.2020997375328086E-2</v>
      </c>
      <c r="U64" s="35">
        <f>R64/0.3048</f>
        <v>77.985564304461931</v>
      </c>
      <c r="X64" t="str">
        <f>"("&amp;N64*100&amp;","&amp;R65*100&amp;","&amp;Q65*100&amp;","&amp;O64*100&amp;")"</f>
        <v>(-2.5,2357,2.5,2377)</v>
      </c>
    </row>
    <row r="65" spans="7:24" x14ac:dyDescent="0.15">
      <c r="K65" s="35"/>
      <c r="L65" s="35"/>
      <c r="N65" s="30">
        <v>-2.5000000000000001E-2</v>
      </c>
      <c r="O65" s="30">
        <f>O64-0.2</f>
        <v>23.57</v>
      </c>
      <c r="Q65" s="31">
        <v>2.5000000000000001E-2</v>
      </c>
      <c r="R65" s="30">
        <f>R64-0.2</f>
        <v>23.57</v>
      </c>
      <c r="T65" s="35">
        <f>Q65/0.3048</f>
        <v>8.2020997375328086E-2</v>
      </c>
      <c r="U65" s="35">
        <f>R65/0.3048</f>
        <v>77.329396325459314</v>
      </c>
    </row>
    <row r="66" spans="7:24" x14ac:dyDescent="0.15">
      <c r="S66" s="29"/>
    </row>
    <row r="67" spans="7:24" x14ac:dyDescent="0.15">
      <c r="G67" t="s">
        <v>27</v>
      </c>
      <c r="K67" s="35"/>
      <c r="L67" s="35"/>
      <c r="N67" s="32">
        <v>-4.1150000000000002</v>
      </c>
      <c r="O67" s="32">
        <v>18.285</v>
      </c>
      <c r="P67" s="33"/>
      <c r="Q67" s="40">
        <v>4.1150000000000002</v>
      </c>
      <c r="R67" s="32">
        <v>18.285</v>
      </c>
      <c r="S67" s="29"/>
      <c r="T67" s="35">
        <f>Q67/0.3048</f>
        <v>13.500656167979002</v>
      </c>
      <c r="U67" s="35">
        <f>R67/0.3048</f>
        <v>59.990157480314956</v>
      </c>
      <c r="X67" t="str">
        <f>"("&amp;N67*100&amp;","&amp;R68*100&amp;","&amp;Q68*100&amp;","&amp;O67*100&amp;")"</f>
        <v>(-411.5,1823.5,411.5,1828.5)</v>
      </c>
    </row>
    <row r="68" spans="7:24" x14ac:dyDescent="0.15">
      <c r="K68" s="35"/>
      <c r="L68" s="35"/>
      <c r="N68" s="30">
        <v>-4.1150000000000002</v>
      </c>
      <c r="O68" s="30">
        <f>O67-0.05</f>
        <v>18.234999999999999</v>
      </c>
      <c r="P68" t="s">
        <v>24</v>
      </c>
      <c r="Q68" s="31">
        <v>4.1150000000000002</v>
      </c>
      <c r="R68" s="30">
        <f>R67-0.05</f>
        <v>18.234999999999999</v>
      </c>
      <c r="T68" s="35">
        <f>Q68/0.3048</f>
        <v>13.500656167979002</v>
      </c>
      <c r="U68" s="35">
        <f>R68/0.3048</f>
        <v>59.826115485564301</v>
      </c>
    </row>
    <row r="69" spans="7:24" x14ac:dyDescent="0.15">
      <c r="N69" s="30"/>
      <c r="O69" s="30"/>
      <c r="Q69" s="31"/>
      <c r="R69" s="30"/>
    </row>
    <row r="70" spans="7:24" x14ac:dyDescent="0.15">
      <c r="G70" t="s">
        <v>29</v>
      </c>
      <c r="K70" s="35"/>
      <c r="L70" s="35"/>
      <c r="N70" s="30">
        <v>-4.1150000000000002</v>
      </c>
      <c r="O70" s="30">
        <f>23.77/2</f>
        <v>11.885</v>
      </c>
      <c r="P70" t="s">
        <v>24</v>
      </c>
      <c r="Q70" s="31">
        <v>4.1150000000000002</v>
      </c>
      <c r="R70" s="30">
        <f>23.77/2</f>
        <v>11.885</v>
      </c>
      <c r="T70" s="35">
        <f>Q70/0.3048</f>
        <v>13.500656167979002</v>
      </c>
      <c r="U70" s="35">
        <f>R70/0.3048</f>
        <v>38.992782152230966</v>
      </c>
    </row>
    <row r="71" spans="7:24" x14ac:dyDescent="0.15">
      <c r="K71" s="35"/>
      <c r="L71" s="35"/>
      <c r="O71" s="29"/>
      <c r="Q71" s="31"/>
      <c r="R71" s="31"/>
    </row>
    <row r="72" spans="7:24" x14ac:dyDescent="0.15">
      <c r="G72" t="s">
        <v>25</v>
      </c>
      <c r="K72" s="35"/>
      <c r="L72" s="35"/>
      <c r="N72" s="30">
        <v>-4.1150000000000002</v>
      </c>
      <c r="O72" s="30">
        <f>O73+0.05</f>
        <v>5.5350000000000001</v>
      </c>
      <c r="P72" t="s">
        <v>24</v>
      </c>
      <c r="Q72" s="31">
        <v>4.1150000000000002</v>
      </c>
      <c r="R72" s="30">
        <f>R73+0.05</f>
        <v>5.5350000000000001</v>
      </c>
      <c r="T72" s="35">
        <f>Q72/0.3048</f>
        <v>13.500656167979002</v>
      </c>
      <c r="U72" s="35">
        <f>R72/0.3048</f>
        <v>18.159448818897637</v>
      </c>
      <c r="X72" t="str">
        <f>"("&amp;N72*100&amp;","&amp;R73*100&amp;","&amp;Q73*100&amp;","&amp;O72*100&amp;")"</f>
        <v>(-411.5,548.5,411.5,553.5)</v>
      </c>
    </row>
    <row r="73" spans="7:24" x14ac:dyDescent="0.15">
      <c r="K73" s="35"/>
      <c r="L73" s="35"/>
      <c r="N73" s="32">
        <v>-4.1150000000000002</v>
      </c>
      <c r="O73" s="32">
        <v>5.4850000000000003</v>
      </c>
      <c r="P73" s="33" t="s">
        <v>24</v>
      </c>
      <c r="Q73" s="34">
        <v>4.1150000000000002</v>
      </c>
      <c r="R73" s="32">
        <v>5.4850000000000003</v>
      </c>
      <c r="T73" s="35">
        <f>Q73/0.3048</f>
        <v>13.500656167979002</v>
      </c>
      <c r="U73" s="35">
        <f>R73/0.3048</f>
        <v>17.995406824146983</v>
      </c>
    </row>
    <row r="74" spans="7:24" x14ac:dyDescent="0.15">
      <c r="N74" s="30"/>
      <c r="O74" s="30"/>
      <c r="Q74" s="31"/>
      <c r="R74" s="30"/>
    </row>
    <row r="75" spans="7:24" x14ac:dyDescent="0.15">
      <c r="G75" t="s">
        <v>28</v>
      </c>
      <c r="K75" s="35"/>
      <c r="L75" s="35"/>
      <c r="N75" s="30">
        <v>-2.5000000000000001E-2</v>
      </c>
      <c r="O75" s="30">
        <v>0.2</v>
      </c>
      <c r="Q75" s="31">
        <v>2.5000000000000001E-2</v>
      </c>
      <c r="R75" s="30">
        <v>0.2</v>
      </c>
      <c r="T75" s="35">
        <f>Q75/0.3048</f>
        <v>8.2020997375328086E-2</v>
      </c>
      <c r="U75" s="35">
        <f>R75/0.3048</f>
        <v>0.65616797900262469</v>
      </c>
      <c r="X75" t="str">
        <f>"("&amp;N75*100&amp;","&amp;R76*100&amp;","&amp;Q76*100&amp;","&amp;O75*100&amp;")"</f>
        <v>(-2.5,0,2.5,20)</v>
      </c>
    </row>
    <row r="76" spans="7:24" x14ac:dyDescent="0.15">
      <c r="K76" s="35"/>
      <c r="L76" s="35"/>
      <c r="N76" s="30">
        <v>-2.5000000000000001E-2</v>
      </c>
      <c r="O76" s="30">
        <v>0</v>
      </c>
      <c r="Q76" s="31">
        <v>2.5000000000000001E-2</v>
      </c>
      <c r="R76" s="30">
        <v>0</v>
      </c>
      <c r="T76" s="35">
        <f>Q76/0.3048</f>
        <v>8.2020997375328086E-2</v>
      </c>
      <c r="U76" s="35">
        <f>R76/0.3048</f>
        <v>0</v>
      </c>
    </row>
    <row r="77" spans="7:24" x14ac:dyDescent="0.15">
      <c r="Q77" s="31"/>
      <c r="R77" s="31"/>
    </row>
    <row r="78" spans="7:24" x14ac:dyDescent="0.15">
      <c r="K78" s="35"/>
      <c r="L78" s="35"/>
      <c r="N78" s="30">
        <v>-5.4850000000000003</v>
      </c>
      <c r="O78" s="30">
        <v>0.1</v>
      </c>
      <c r="Q78" s="31">
        <v>5.4850000000000003</v>
      </c>
      <c r="R78" s="30">
        <v>0.1</v>
      </c>
      <c r="T78" s="35">
        <f>Q78/0.3048</f>
        <v>17.995406824146983</v>
      </c>
      <c r="U78" s="35">
        <f>R78/0.3048</f>
        <v>0.32808398950131235</v>
      </c>
      <c r="X78" t="str">
        <f>"("&amp;N78*100&amp;","&amp;R79*100&amp;","&amp;Q79*100&amp;","&amp;O78*100&amp;")"</f>
        <v>(-548.5,0,548.5,10)</v>
      </c>
    </row>
    <row r="79" spans="7:24" x14ac:dyDescent="0.15">
      <c r="G79" t="s">
        <v>26</v>
      </c>
      <c r="K79" s="35"/>
      <c r="L79" s="35"/>
      <c r="N79" s="30">
        <v>-5.4850000000000003</v>
      </c>
      <c r="O79" s="30">
        <v>0</v>
      </c>
      <c r="P79" t="s">
        <v>24</v>
      </c>
      <c r="Q79" s="31">
        <v>5.4850000000000003</v>
      </c>
      <c r="R79" s="30">
        <v>0</v>
      </c>
      <c r="T79" s="35">
        <f>Q79/0.3048</f>
        <v>17.995406824146983</v>
      </c>
      <c r="U79" s="35">
        <f>R79/0.3048</f>
        <v>0</v>
      </c>
    </row>
    <row r="82" spans="7:24" x14ac:dyDescent="0.15">
      <c r="G82" t="s">
        <v>35</v>
      </c>
      <c r="N82" s="30">
        <v>-4.1150000000000002</v>
      </c>
      <c r="O82" s="30">
        <v>23.77</v>
      </c>
      <c r="Q82" s="31">
        <v>4.1150000000000002</v>
      </c>
      <c r="R82" s="30">
        <v>23.77</v>
      </c>
      <c r="U82" t="s">
        <v>43</v>
      </c>
      <c r="X82" t="str">
        <f>"("&amp;N82*100&amp;","&amp;R83*100&amp;","&amp;Q83*100&amp;","&amp;O82*100&amp;")"</f>
        <v>(-411.5,1188.5,411.5,2377)</v>
      </c>
    </row>
    <row r="83" spans="7:24" x14ac:dyDescent="0.15">
      <c r="N83" s="30">
        <v>-4.1150000000000002</v>
      </c>
      <c r="O83" s="30">
        <f>23.77/2</f>
        <v>11.885</v>
      </c>
      <c r="Q83" s="31">
        <v>4.1150000000000002</v>
      </c>
      <c r="R83" s="30">
        <f>23.77/2</f>
        <v>11.885</v>
      </c>
    </row>
    <row r="84" spans="7:24" x14ac:dyDescent="0.15">
      <c r="O84" s="30"/>
      <c r="R84" s="30"/>
    </row>
    <row r="85" spans="7:24" x14ac:dyDescent="0.15">
      <c r="G85" t="s">
        <v>36</v>
      </c>
      <c r="N85" s="30">
        <v>-4.1150000000000002</v>
      </c>
      <c r="O85" s="30">
        <f>23.77/2</f>
        <v>11.885</v>
      </c>
      <c r="Q85" s="31">
        <v>4.1150000000000002</v>
      </c>
      <c r="R85" s="30">
        <f>23.77/2</f>
        <v>11.885</v>
      </c>
      <c r="U85" t="s">
        <v>44</v>
      </c>
      <c r="X85" t="str">
        <f>"("&amp;N85*100&amp;","&amp;R86*100&amp;","&amp;Q86*100&amp;","&amp;O85*100&amp;")"</f>
        <v>(-411.5,0,411.5,1188.5)</v>
      </c>
    </row>
    <row r="86" spans="7:24" x14ac:dyDescent="0.15">
      <c r="N86" s="30">
        <v>-4.1150000000000002</v>
      </c>
      <c r="O86" s="30">
        <v>0</v>
      </c>
      <c r="Q86" s="31">
        <v>4.1150000000000002</v>
      </c>
      <c r="R86" s="30">
        <v>0</v>
      </c>
    </row>
    <row r="87" spans="7:24" x14ac:dyDescent="0.15">
      <c r="O87" s="30"/>
      <c r="R87" s="30"/>
    </row>
    <row r="88" spans="7:24" x14ac:dyDescent="0.15">
      <c r="G88" t="s">
        <v>37</v>
      </c>
      <c r="N88" s="30">
        <v>-5.4850000000000003</v>
      </c>
      <c r="O88" s="30">
        <v>23.77</v>
      </c>
      <c r="Q88" s="31">
        <v>5.4850000000000003</v>
      </c>
      <c r="R88" s="30">
        <v>23.77</v>
      </c>
      <c r="U88" t="s">
        <v>45</v>
      </c>
      <c r="X88" t="str">
        <f>"("&amp;N88*100&amp;","&amp;R89*100&amp;","&amp;Q89*100&amp;","&amp;O88*100&amp;")"</f>
        <v>(-548.5,1188.5,548.5,2377)</v>
      </c>
    </row>
    <row r="89" spans="7:24" x14ac:dyDescent="0.15">
      <c r="N89" s="30">
        <v>-5.4850000000000003</v>
      </c>
      <c r="O89" s="30">
        <f>23.77/2</f>
        <v>11.885</v>
      </c>
      <c r="Q89" s="31">
        <v>5.4850000000000003</v>
      </c>
      <c r="R89" s="30">
        <f>23.77/2</f>
        <v>11.885</v>
      </c>
    </row>
    <row r="90" spans="7:24" x14ac:dyDescent="0.15">
      <c r="O90" s="30"/>
      <c r="R90" s="30"/>
    </row>
    <row r="91" spans="7:24" x14ac:dyDescent="0.15">
      <c r="G91" t="s">
        <v>38</v>
      </c>
      <c r="N91" s="30">
        <v>-5.4850000000000003</v>
      </c>
      <c r="O91" s="30">
        <f>23.77/2</f>
        <v>11.885</v>
      </c>
      <c r="Q91" s="31">
        <v>5.4850000000000003</v>
      </c>
      <c r="R91" s="30">
        <f>23.77/2</f>
        <v>11.885</v>
      </c>
      <c r="U91" t="s">
        <v>46</v>
      </c>
      <c r="X91" t="str">
        <f>"("&amp;N91*100&amp;","&amp;R92*100&amp;","&amp;Q92*100&amp;","&amp;O91*100&amp;")"</f>
        <v>(-548.5,0,548.5,1188.5)</v>
      </c>
    </row>
    <row r="92" spans="7:24" x14ac:dyDescent="0.15">
      <c r="N92" s="30">
        <v>-5.4850000000000003</v>
      </c>
      <c r="O92" s="30">
        <v>0</v>
      </c>
      <c r="Q92" s="31">
        <v>5.4850000000000003</v>
      </c>
      <c r="R92" s="30">
        <v>0</v>
      </c>
    </row>
    <row r="94" spans="7:24" x14ac:dyDescent="0.15">
      <c r="G94" t="s">
        <v>39</v>
      </c>
      <c r="L94" s="41"/>
      <c r="N94" s="30">
        <v>-4.1150000000000002</v>
      </c>
      <c r="O94" s="37">
        <v>18.285</v>
      </c>
      <c r="P94" s="38"/>
      <c r="Q94" s="39">
        <v>2.5000000000000001E-2</v>
      </c>
      <c r="R94" s="37">
        <v>18.285</v>
      </c>
      <c r="U94" t="s">
        <v>47</v>
      </c>
      <c r="X94" t="str">
        <f>"("&amp;N94*100&amp;","&amp;R95*100&amp;","&amp;Q95*100&amp;","&amp;O94*100&amp;")"</f>
        <v>(-411.5,1188.5,2.5,1828.5)</v>
      </c>
    </row>
    <row r="95" spans="7:24" x14ac:dyDescent="0.15">
      <c r="N95" s="30">
        <v>-4.1150000000000002</v>
      </c>
      <c r="O95" s="37">
        <f>23.77/2</f>
        <v>11.885</v>
      </c>
      <c r="P95" s="38"/>
      <c r="Q95" s="39">
        <v>2.5000000000000001E-2</v>
      </c>
      <c r="R95" s="37">
        <f>23.77/2</f>
        <v>11.885</v>
      </c>
    </row>
    <row r="96" spans="7:24" x14ac:dyDescent="0.15">
      <c r="O96" s="38"/>
      <c r="P96" s="38"/>
      <c r="Q96" s="38"/>
      <c r="R96" s="38"/>
    </row>
    <row r="97" spans="7:24" x14ac:dyDescent="0.15">
      <c r="G97" t="s">
        <v>40</v>
      </c>
      <c r="N97" s="30">
        <v>-2.5000000000000001E-2</v>
      </c>
      <c r="O97" s="37">
        <v>18.285</v>
      </c>
      <c r="P97" s="38"/>
      <c r="Q97" s="39">
        <v>4.1150000000000002</v>
      </c>
      <c r="R97" s="37">
        <v>18.285</v>
      </c>
      <c r="U97" t="s">
        <v>48</v>
      </c>
      <c r="X97" t="str">
        <f>"("&amp;N97*100&amp;","&amp;R98*100&amp;","&amp;Q98*100&amp;","&amp;O97*100&amp;")"</f>
        <v>(-2.5,1188.5,411.5,1828.5)</v>
      </c>
    </row>
    <row r="98" spans="7:24" x14ac:dyDescent="0.15">
      <c r="N98" s="30">
        <v>-2.5000000000000001E-2</v>
      </c>
      <c r="O98" s="30">
        <f>23.77/2</f>
        <v>11.885</v>
      </c>
      <c r="Q98" s="31">
        <v>4.1150000000000002</v>
      </c>
      <c r="R98" s="30">
        <f>23.77/2</f>
        <v>11.885</v>
      </c>
    </row>
    <row r="100" spans="7:24" x14ac:dyDescent="0.15">
      <c r="G100" t="s">
        <v>41</v>
      </c>
      <c r="N100" s="30">
        <v>-2.5000000000000001E-2</v>
      </c>
      <c r="O100" s="30">
        <f>23.77/2</f>
        <v>11.885</v>
      </c>
      <c r="Q100" s="39">
        <v>4.1150000000000002</v>
      </c>
      <c r="R100" s="30">
        <f>23.77/2</f>
        <v>11.885</v>
      </c>
      <c r="U100" t="s">
        <v>49</v>
      </c>
      <c r="X100" t="str">
        <f>"("&amp;N100*100&amp;","&amp;R101*100&amp;","&amp;Q101*100&amp;","&amp;O100*100&amp;")"</f>
        <v>(-2.5,548.5,411.5,1188.5)</v>
      </c>
    </row>
    <row r="101" spans="7:24" x14ac:dyDescent="0.15">
      <c r="N101" s="30">
        <v>-2.5000000000000001E-2</v>
      </c>
      <c r="O101" s="32">
        <v>5.4850000000000003</v>
      </c>
      <c r="Q101" s="31">
        <v>4.1150000000000002</v>
      </c>
      <c r="R101" s="32">
        <v>5.4850000000000003</v>
      </c>
    </row>
    <row r="103" spans="7:24" x14ac:dyDescent="0.15">
      <c r="G103" t="s">
        <v>42</v>
      </c>
      <c r="N103" s="30">
        <v>-4.1150000000000002</v>
      </c>
      <c r="O103" s="30">
        <f>23.77/2</f>
        <v>11.885</v>
      </c>
      <c r="Q103" s="39">
        <v>2.5000000000000001E-2</v>
      </c>
      <c r="R103" s="30">
        <f>23.77/2</f>
        <v>11.885</v>
      </c>
      <c r="U103" t="s">
        <v>50</v>
      </c>
      <c r="X103" t="str">
        <f>"("&amp;N103*100&amp;","&amp;R104*100&amp;","&amp;Q104*100&amp;","&amp;O103*100&amp;")"</f>
        <v>(-411.5,548.5,2.5,1188.5)</v>
      </c>
    </row>
    <row r="104" spans="7:24" x14ac:dyDescent="0.15">
      <c r="N104" s="30">
        <v>-4.1150000000000002</v>
      </c>
      <c r="O104" s="32">
        <v>5.4850000000000003</v>
      </c>
      <c r="Q104" s="39">
        <v>2.5000000000000001E-2</v>
      </c>
      <c r="R104" s="32">
        <v>5.4850000000000003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6C192-723F-45D2-B4D8-D5674BD92AD6}">
  <dimension ref="A1"/>
  <sheetViews>
    <sheetView workbookViewId="0"/>
  </sheetViews>
  <sheetFormatPr defaultRowHeight="13.5" x14ac:dyDescent="0.15"/>
  <sheetData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I13"/>
  <sheetViews>
    <sheetView workbookViewId="0">
      <selection activeCell="D13" sqref="D13"/>
    </sheetView>
  </sheetViews>
  <sheetFormatPr defaultRowHeight="13.5" x14ac:dyDescent="0.15"/>
  <cols>
    <col min="4" max="4" width="10.625" bestFit="1" customWidth="1"/>
    <col min="8" max="8" width="12.875" bestFit="1" customWidth="1"/>
  </cols>
  <sheetData>
    <row r="5" spans="2:9" x14ac:dyDescent="0.15">
      <c r="B5" t="s">
        <v>3559</v>
      </c>
      <c r="E5" t="s">
        <v>3568</v>
      </c>
      <c r="H5" t="s">
        <v>3565</v>
      </c>
      <c r="I5" t="s">
        <v>3565</v>
      </c>
    </row>
    <row r="6" spans="2:9" x14ac:dyDescent="0.15">
      <c r="D6" t="s">
        <v>3562</v>
      </c>
      <c r="E6" t="s">
        <v>3561</v>
      </c>
      <c r="F6" t="s">
        <v>3563</v>
      </c>
      <c r="H6" t="s">
        <v>3566</v>
      </c>
      <c r="I6" t="s">
        <v>3567</v>
      </c>
    </row>
    <row r="7" spans="2:9" x14ac:dyDescent="0.15">
      <c r="B7" t="s">
        <v>3560</v>
      </c>
      <c r="D7">
        <v>20</v>
      </c>
      <c r="E7">
        <f>D7*1000/3600</f>
        <v>5.5555555555555554</v>
      </c>
      <c r="F7">
        <f>E7*100/30</f>
        <v>18.518518518518519</v>
      </c>
    </row>
    <row r="9" spans="2:9" x14ac:dyDescent="0.15">
      <c r="B9" t="s">
        <v>3564</v>
      </c>
      <c r="D9">
        <v>150</v>
      </c>
      <c r="E9">
        <f>D9*1000/3600</f>
        <v>41.666666666666664</v>
      </c>
      <c r="F9">
        <f>E9*100/30</f>
        <v>138.88888888888886</v>
      </c>
    </row>
    <row r="11" spans="2:9" x14ac:dyDescent="0.15">
      <c r="E11">
        <v>9.8000000000000007</v>
      </c>
      <c r="F11">
        <f>E11*100/30</f>
        <v>32.666666666666671</v>
      </c>
    </row>
    <row r="13" spans="2:9" x14ac:dyDescent="0.15">
      <c r="B13" t="s">
        <v>3565</v>
      </c>
      <c r="H13">
        <v>9.8000000000000007</v>
      </c>
      <c r="I13">
        <f>H13*100/30</f>
        <v>32.666666666666671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429"/>
  <sheetViews>
    <sheetView topLeftCell="A55" workbookViewId="0">
      <selection activeCell="J72" sqref="J72"/>
    </sheetView>
  </sheetViews>
  <sheetFormatPr defaultRowHeight="13.5" x14ac:dyDescent="0.15"/>
  <cols>
    <col min="9" max="9" width="17.625" bestFit="1" customWidth="1"/>
  </cols>
  <sheetData>
    <row r="1" spans="1:13" x14ac:dyDescent="0.15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3107</v>
      </c>
      <c r="K1" t="s">
        <v>3525</v>
      </c>
      <c r="L1" t="s">
        <v>3526</v>
      </c>
      <c r="M1" t="s">
        <v>3527</v>
      </c>
    </row>
    <row r="2" spans="1:13" x14ac:dyDescent="0.15">
      <c r="A2" t="s">
        <v>67</v>
      </c>
      <c r="B2">
        <v>2</v>
      </c>
      <c r="C2">
        <v>998</v>
      </c>
      <c r="D2" t="s">
        <v>68</v>
      </c>
      <c r="E2">
        <v>1001</v>
      </c>
      <c r="F2">
        <v>2500</v>
      </c>
      <c r="G2" t="s">
        <v>69</v>
      </c>
      <c r="H2" t="s">
        <v>70</v>
      </c>
      <c r="I2" t="s">
        <v>71</v>
      </c>
      <c r="J2" t="e">
        <f>INDEX(色マップ2!$C$2:$C$951,MATCH(色マップ!A2,色マップ2!$A$2:$A$951,0))</f>
        <v>#N/A</v>
      </c>
    </row>
    <row r="3" spans="1:13" x14ac:dyDescent="0.15">
      <c r="A3" t="s">
        <v>72</v>
      </c>
      <c r="B3">
        <v>387</v>
      </c>
      <c r="C3">
        <v>981</v>
      </c>
      <c r="D3" t="s">
        <v>72</v>
      </c>
      <c r="E3">
        <v>1002</v>
      </c>
      <c r="F3">
        <v>305</v>
      </c>
      <c r="G3">
        <v>731</v>
      </c>
      <c r="H3" t="s">
        <v>73</v>
      </c>
      <c r="I3" t="s">
        <v>74</v>
      </c>
      <c r="J3" t="e">
        <f>INDEX(色マップ2!$C$2:$C$951,MATCH(色マップ!A3,色マップ2!$A$2:$A$951,0))</f>
        <v>#N/A</v>
      </c>
    </row>
    <row r="4" spans="1:13" x14ac:dyDescent="0.15">
      <c r="A4" t="s">
        <v>3108</v>
      </c>
      <c r="B4" t="s">
        <v>75</v>
      </c>
      <c r="C4">
        <v>869</v>
      </c>
      <c r="D4">
        <v>804</v>
      </c>
      <c r="E4">
        <v>4301</v>
      </c>
      <c r="F4">
        <v>265</v>
      </c>
      <c r="G4">
        <v>674</v>
      </c>
      <c r="H4" t="s">
        <v>76</v>
      </c>
      <c r="I4" t="s">
        <v>77</v>
      </c>
      <c r="J4" s="160" t="s">
        <v>1431</v>
      </c>
      <c r="K4">
        <f t="shared" ref="K4:K15" si="0">HEX2DEC(MID(J4,2,2))</f>
        <v>144</v>
      </c>
      <c r="L4">
        <f t="shared" ref="L4:L15" si="1">HEX2DEC(MID(J4,4,2))</f>
        <v>33</v>
      </c>
      <c r="M4">
        <f t="shared" ref="M4:M15" si="2">HEX2DEC(MID(J4,6,2))</f>
        <v>71</v>
      </c>
    </row>
    <row r="5" spans="1:13" x14ac:dyDescent="0.15">
      <c r="A5" t="s">
        <v>3109</v>
      </c>
      <c r="B5">
        <v>109</v>
      </c>
      <c r="C5">
        <v>869</v>
      </c>
      <c r="D5">
        <v>803</v>
      </c>
      <c r="E5">
        <v>4302</v>
      </c>
      <c r="F5">
        <v>263</v>
      </c>
      <c r="G5">
        <v>673</v>
      </c>
      <c r="H5" t="s">
        <v>78</v>
      </c>
      <c r="I5" t="s">
        <v>79</v>
      </c>
      <c r="J5" s="161" t="s">
        <v>1433</v>
      </c>
      <c r="K5">
        <f t="shared" si="0"/>
        <v>117</v>
      </c>
      <c r="L5">
        <f t="shared" si="1"/>
        <v>38</v>
      </c>
      <c r="M5">
        <f t="shared" si="2"/>
        <v>65</v>
      </c>
    </row>
    <row r="6" spans="1:13" x14ac:dyDescent="0.15">
      <c r="A6" t="s">
        <v>3110</v>
      </c>
      <c r="B6">
        <v>108</v>
      </c>
      <c r="C6">
        <v>868</v>
      </c>
      <c r="D6">
        <v>802</v>
      </c>
      <c r="E6">
        <v>4303</v>
      </c>
      <c r="F6" t="s">
        <v>80</v>
      </c>
      <c r="G6">
        <v>673</v>
      </c>
      <c r="H6" t="s">
        <v>81</v>
      </c>
      <c r="I6" t="s">
        <v>82</v>
      </c>
      <c r="J6" s="162" t="s">
        <v>1435</v>
      </c>
      <c r="K6">
        <f t="shared" si="0"/>
        <v>250</v>
      </c>
      <c r="L6">
        <f t="shared" si="1"/>
        <v>159</v>
      </c>
      <c r="M6">
        <f t="shared" si="2"/>
        <v>204</v>
      </c>
    </row>
    <row r="7" spans="1:13" x14ac:dyDescent="0.15">
      <c r="A7" t="s">
        <v>3111</v>
      </c>
      <c r="B7" t="s">
        <v>83</v>
      </c>
      <c r="C7">
        <v>867</v>
      </c>
      <c r="D7">
        <v>801</v>
      </c>
      <c r="E7">
        <v>4303</v>
      </c>
      <c r="F7" t="s">
        <v>84</v>
      </c>
      <c r="G7">
        <v>672</v>
      </c>
      <c r="H7" t="s">
        <v>85</v>
      </c>
      <c r="I7" t="s">
        <v>86</v>
      </c>
      <c r="J7" s="163" t="s">
        <v>1437</v>
      </c>
      <c r="K7">
        <f t="shared" si="0"/>
        <v>249</v>
      </c>
      <c r="L7">
        <f t="shared" si="1"/>
        <v>125</v>
      </c>
      <c r="M7">
        <f t="shared" si="2"/>
        <v>184</v>
      </c>
    </row>
    <row r="8" spans="1:13" x14ac:dyDescent="0.15">
      <c r="A8" t="s">
        <v>3112</v>
      </c>
      <c r="B8">
        <v>897</v>
      </c>
      <c r="C8">
        <v>971</v>
      </c>
      <c r="D8">
        <v>811</v>
      </c>
      <c r="E8">
        <v>3242</v>
      </c>
      <c r="F8">
        <v>655</v>
      </c>
      <c r="G8">
        <v>167</v>
      </c>
      <c r="H8" t="s">
        <v>87</v>
      </c>
      <c r="I8" t="s">
        <v>88</v>
      </c>
      <c r="J8" s="174" t="s">
        <v>1459</v>
      </c>
      <c r="K8">
        <f t="shared" si="0"/>
        <v>150</v>
      </c>
      <c r="L8">
        <f t="shared" si="1"/>
        <v>0</v>
      </c>
      <c r="M8">
        <f t="shared" si="2"/>
        <v>75</v>
      </c>
    </row>
    <row r="9" spans="1:13" x14ac:dyDescent="0.15">
      <c r="A9" t="s">
        <v>3113</v>
      </c>
      <c r="B9" t="s">
        <v>89</v>
      </c>
      <c r="C9">
        <v>859</v>
      </c>
      <c r="D9">
        <v>812</v>
      </c>
      <c r="E9">
        <v>3241</v>
      </c>
      <c r="F9" t="s">
        <v>90</v>
      </c>
      <c r="G9">
        <v>166</v>
      </c>
      <c r="H9" t="s">
        <v>91</v>
      </c>
      <c r="I9" t="s">
        <v>92</v>
      </c>
      <c r="J9" s="176" t="s">
        <v>1463</v>
      </c>
      <c r="K9">
        <f t="shared" si="0"/>
        <v>242</v>
      </c>
      <c r="L9">
        <f t="shared" si="1"/>
        <v>147</v>
      </c>
      <c r="M9">
        <f t="shared" si="2"/>
        <v>209</v>
      </c>
    </row>
    <row r="10" spans="1:13" x14ac:dyDescent="0.15">
      <c r="A10" t="s">
        <v>3114</v>
      </c>
      <c r="B10" t="s">
        <v>93</v>
      </c>
      <c r="C10">
        <v>858</v>
      </c>
      <c r="D10">
        <v>813</v>
      </c>
      <c r="E10">
        <v>3240</v>
      </c>
      <c r="F10" t="s">
        <v>94</v>
      </c>
      <c r="G10">
        <v>163</v>
      </c>
      <c r="H10" t="s">
        <v>95</v>
      </c>
      <c r="I10" t="s">
        <v>96</v>
      </c>
      <c r="J10" s="177" t="s">
        <v>1465</v>
      </c>
      <c r="K10">
        <f t="shared" si="0"/>
        <v>239</v>
      </c>
      <c r="L10">
        <f t="shared" si="1"/>
        <v>106</v>
      </c>
      <c r="M10">
        <f t="shared" si="2"/>
        <v>191</v>
      </c>
    </row>
    <row r="11" spans="1:13" x14ac:dyDescent="0.15">
      <c r="A11" t="s">
        <v>3115</v>
      </c>
      <c r="B11" t="s">
        <v>97</v>
      </c>
      <c r="C11">
        <v>840</v>
      </c>
      <c r="D11">
        <v>814</v>
      </c>
      <c r="E11">
        <v>3239</v>
      </c>
      <c r="F11" t="s">
        <v>98</v>
      </c>
      <c r="G11">
        <v>161</v>
      </c>
      <c r="H11" t="s">
        <v>99</v>
      </c>
      <c r="I11" t="s">
        <v>100</v>
      </c>
      <c r="J11" s="178" t="s">
        <v>1467</v>
      </c>
      <c r="K11">
        <f t="shared" si="0"/>
        <v>229</v>
      </c>
      <c r="L11">
        <f t="shared" si="1"/>
        <v>35</v>
      </c>
      <c r="M11">
        <f t="shared" si="2"/>
        <v>157</v>
      </c>
    </row>
    <row r="12" spans="1:13" x14ac:dyDescent="0.15">
      <c r="A12" t="s">
        <v>3116</v>
      </c>
      <c r="B12" t="s">
        <v>101</v>
      </c>
      <c r="C12">
        <v>964</v>
      </c>
      <c r="D12">
        <v>2304</v>
      </c>
      <c r="E12" t="s">
        <v>69</v>
      </c>
      <c r="F12">
        <v>131</v>
      </c>
      <c r="G12">
        <v>714</v>
      </c>
      <c r="H12" t="s">
        <v>102</v>
      </c>
      <c r="I12" t="s">
        <v>103</v>
      </c>
      <c r="J12" s="255" t="s">
        <v>1623</v>
      </c>
      <c r="K12">
        <f t="shared" si="0"/>
        <v>0</v>
      </c>
      <c r="L12">
        <f t="shared" si="1"/>
        <v>103</v>
      </c>
      <c r="M12">
        <f t="shared" si="2"/>
        <v>198</v>
      </c>
    </row>
    <row r="13" spans="1:13" x14ac:dyDescent="0.15">
      <c r="A13" t="s">
        <v>3117</v>
      </c>
      <c r="B13" t="s">
        <v>104</v>
      </c>
      <c r="C13">
        <v>963</v>
      </c>
      <c r="D13">
        <v>2306</v>
      </c>
      <c r="E13">
        <v>5349</v>
      </c>
      <c r="F13">
        <v>2129</v>
      </c>
      <c r="G13">
        <v>785</v>
      </c>
      <c r="H13" t="s">
        <v>105</v>
      </c>
      <c r="I13" t="s">
        <v>106</v>
      </c>
      <c r="J13" s="256" t="s">
        <v>1625</v>
      </c>
      <c r="K13">
        <f t="shared" si="0"/>
        <v>0</v>
      </c>
      <c r="L13">
        <f t="shared" si="1"/>
        <v>82</v>
      </c>
      <c r="M13">
        <f t="shared" si="2"/>
        <v>155</v>
      </c>
    </row>
    <row r="14" spans="1:13" x14ac:dyDescent="0.15">
      <c r="A14" t="s">
        <v>3118</v>
      </c>
      <c r="B14" t="s">
        <v>107</v>
      </c>
      <c r="C14">
        <v>846</v>
      </c>
      <c r="D14">
        <v>509</v>
      </c>
      <c r="E14">
        <v>3401</v>
      </c>
      <c r="F14">
        <v>241</v>
      </c>
      <c r="G14">
        <v>190</v>
      </c>
      <c r="H14" t="s">
        <v>108</v>
      </c>
      <c r="I14" t="s">
        <v>109</v>
      </c>
      <c r="J14" s="259" t="s">
        <v>1631</v>
      </c>
      <c r="K14">
        <f t="shared" si="0"/>
        <v>162</v>
      </c>
      <c r="L14">
        <f t="shared" si="1"/>
        <v>219</v>
      </c>
      <c r="M14">
        <f t="shared" si="2"/>
        <v>235</v>
      </c>
    </row>
    <row r="15" spans="1:13" x14ac:dyDescent="0.15">
      <c r="A15" t="s">
        <v>3119</v>
      </c>
      <c r="B15">
        <v>289</v>
      </c>
      <c r="C15">
        <v>800</v>
      </c>
      <c r="D15">
        <v>104</v>
      </c>
      <c r="E15">
        <v>2290</v>
      </c>
      <c r="F15">
        <v>300</v>
      </c>
      <c r="G15">
        <v>543</v>
      </c>
      <c r="H15" t="s">
        <v>110</v>
      </c>
      <c r="I15" t="s">
        <v>111</v>
      </c>
      <c r="J15" s="263" t="s">
        <v>1639</v>
      </c>
      <c r="K15">
        <f t="shared" si="0"/>
        <v>0</v>
      </c>
      <c r="L15">
        <f t="shared" si="1"/>
        <v>112</v>
      </c>
      <c r="M15">
        <f t="shared" si="2"/>
        <v>178</v>
      </c>
    </row>
    <row r="16" spans="1:13" x14ac:dyDescent="0.15">
      <c r="A16" t="s">
        <v>3120</v>
      </c>
      <c r="B16" t="s">
        <v>112</v>
      </c>
      <c r="C16">
        <v>855</v>
      </c>
      <c r="D16">
        <v>507</v>
      </c>
      <c r="E16">
        <v>3284</v>
      </c>
      <c r="F16">
        <v>107</v>
      </c>
      <c r="G16">
        <v>1121</v>
      </c>
      <c r="H16" t="s">
        <v>113</v>
      </c>
      <c r="I16" t="s">
        <v>114</v>
      </c>
      <c r="J16" s="265" t="s">
        <v>1643</v>
      </c>
      <c r="K16">
        <f t="shared" ref="K16:K79" si="3">HEX2DEC(MID(J16,2,2))</f>
        <v>0</v>
      </c>
      <c r="L16">
        <f t="shared" ref="L16:L79" si="4">HEX2DEC(MID(J16,4,2))</f>
        <v>57</v>
      </c>
      <c r="M16">
        <f t="shared" ref="M16:M79" si="5">HEX2DEC(MID(J16,6,2))</f>
        <v>71</v>
      </c>
    </row>
    <row r="17" spans="1:13" x14ac:dyDescent="0.15">
      <c r="A17" t="s">
        <v>3121</v>
      </c>
      <c r="B17">
        <v>403</v>
      </c>
      <c r="C17">
        <v>999</v>
      </c>
      <c r="D17" t="s">
        <v>115</v>
      </c>
      <c r="E17">
        <v>8403</v>
      </c>
      <c r="F17">
        <v>600</v>
      </c>
      <c r="G17">
        <v>900</v>
      </c>
      <c r="H17" t="s">
        <v>115</v>
      </c>
      <c r="I17" t="s">
        <v>116</v>
      </c>
      <c r="J17" s="266" t="s">
        <v>1645</v>
      </c>
      <c r="K17">
        <f t="shared" si="3"/>
        <v>102</v>
      </c>
      <c r="L17">
        <f t="shared" si="4"/>
        <v>207</v>
      </c>
      <c r="M17">
        <f t="shared" si="5"/>
        <v>230</v>
      </c>
    </row>
    <row r="18" spans="1:13" x14ac:dyDescent="0.15">
      <c r="A18" t="s">
        <v>3122</v>
      </c>
      <c r="B18">
        <v>148</v>
      </c>
      <c r="C18">
        <v>907</v>
      </c>
      <c r="D18">
        <v>1006</v>
      </c>
      <c r="E18">
        <v>7980</v>
      </c>
      <c r="F18" t="s">
        <v>117</v>
      </c>
      <c r="G18">
        <v>356</v>
      </c>
      <c r="H18" t="s">
        <v>118</v>
      </c>
      <c r="I18" t="s">
        <v>119</v>
      </c>
      <c r="J18" s="267" t="s">
        <v>1647</v>
      </c>
      <c r="K18">
        <f t="shared" si="3"/>
        <v>0</v>
      </c>
      <c r="L18">
        <f t="shared" si="4"/>
        <v>194</v>
      </c>
      <c r="M18">
        <f t="shared" si="5"/>
        <v>227</v>
      </c>
    </row>
    <row r="19" spans="1:13" x14ac:dyDescent="0.15">
      <c r="A19" t="s">
        <v>3123</v>
      </c>
      <c r="B19">
        <v>979</v>
      </c>
      <c r="C19">
        <v>896</v>
      </c>
      <c r="D19">
        <v>1005</v>
      </c>
      <c r="E19">
        <v>7979</v>
      </c>
      <c r="F19" t="s">
        <v>120</v>
      </c>
      <c r="G19">
        <v>355</v>
      </c>
      <c r="H19" t="s">
        <v>121</v>
      </c>
      <c r="I19" t="s">
        <v>122</v>
      </c>
      <c r="J19" s="268" t="s">
        <v>1649</v>
      </c>
      <c r="K19">
        <f t="shared" si="3"/>
        <v>0</v>
      </c>
      <c r="L19">
        <f t="shared" si="4"/>
        <v>167</v>
      </c>
      <c r="M19">
        <f t="shared" si="5"/>
        <v>212</v>
      </c>
    </row>
    <row r="20" spans="1:13" x14ac:dyDescent="0.15">
      <c r="A20" t="s">
        <v>3124</v>
      </c>
      <c r="B20">
        <v>1019</v>
      </c>
      <c r="C20">
        <v>859</v>
      </c>
      <c r="D20">
        <v>810</v>
      </c>
      <c r="E20">
        <v>3082</v>
      </c>
      <c r="F20">
        <v>236</v>
      </c>
      <c r="G20">
        <v>1603</v>
      </c>
      <c r="H20" t="s">
        <v>123</v>
      </c>
      <c r="I20" t="s">
        <v>124</v>
      </c>
      <c r="J20" s="271" t="s">
        <v>1655</v>
      </c>
      <c r="K20">
        <f t="shared" si="3"/>
        <v>0</v>
      </c>
      <c r="L20">
        <f t="shared" si="4"/>
        <v>102</v>
      </c>
      <c r="M20">
        <f t="shared" si="5"/>
        <v>133</v>
      </c>
    </row>
    <row r="21" spans="1:13" x14ac:dyDescent="0.15">
      <c r="A21" t="s">
        <v>3125</v>
      </c>
      <c r="B21">
        <v>1017</v>
      </c>
      <c r="C21">
        <v>859</v>
      </c>
      <c r="D21">
        <v>809</v>
      </c>
      <c r="E21">
        <v>3081</v>
      </c>
      <c r="F21" t="s">
        <v>125</v>
      </c>
      <c r="G21">
        <v>1601</v>
      </c>
      <c r="H21" t="s">
        <v>126</v>
      </c>
      <c r="I21" t="s">
        <v>127</v>
      </c>
      <c r="J21" s="272" t="s">
        <v>1657</v>
      </c>
      <c r="K21">
        <f t="shared" si="3"/>
        <v>0</v>
      </c>
      <c r="L21">
        <f t="shared" si="4"/>
        <v>70</v>
      </c>
      <c r="M21">
        <f t="shared" si="5"/>
        <v>80</v>
      </c>
    </row>
    <row r="22" spans="1:13" x14ac:dyDescent="0.15">
      <c r="A22" t="s">
        <v>3126</v>
      </c>
      <c r="B22">
        <v>400</v>
      </c>
      <c r="C22">
        <v>987</v>
      </c>
      <c r="D22">
        <v>1714</v>
      </c>
      <c r="E22">
        <v>8512</v>
      </c>
      <c r="F22" t="s">
        <v>128</v>
      </c>
      <c r="G22">
        <v>486</v>
      </c>
      <c r="H22" t="s">
        <v>129</v>
      </c>
      <c r="I22" t="s">
        <v>130</v>
      </c>
      <c r="J22" s="273" t="s">
        <v>1659</v>
      </c>
      <c r="K22">
        <f t="shared" si="3"/>
        <v>191</v>
      </c>
      <c r="L22">
        <f t="shared" si="4"/>
        <v>229</v>
      </c>
      <c r="M22">
        <f t="shared" si="5"/>
        <v>234</v>
      </c>
    </row>
    <row r="23" spans="1:13" x14ac:dyDescent="0.15">
      <c r="A23" t="s">
        <v>3127</v>
      </c>
      <c r="B23">
        <v>399</v>
      </c>
      <c r="C23">
        <v>986</v>
      </c>
      <c r="D23">
        <v>1802</v>
      </c>
      <c r="E23">
        <v>8511</v>
      </c>
      <c r="F23">
        <v>153</v>
      </c>
      <c r="G23">
        <v>485</v>
      </c>
      <c r="H23" t="s">
        <v>131</v>
      </c>
      <c r="I23" t="s">
        <v>132</v>
      </c>
      <c r="J23" s="274" t="s">
        <v>1661</v>
      </c>
      <c r="K23">
        <f t="shared" si="3"/>
        <v>142</v>
      </c>
      <c r="L23">
        <f t="shared" si="4"/>
        <v>219</v>
      </c>
      <c r="M23">
        <f t="shared" si="5"/>
        <v>229</v>
      </c>
    </row>
    <row r="24" spans="1:13" x14ac:dyDescent="0.15">
      <c r="A24" t="s">
        <v>3128</v>
      </c>
      <c r="B24">
        <v>218</v>
      </c>
      <c r="C24">
        <v>918</v>
      </c>
      <c r="D24">
        <v>1313</v>
      </c>
      <c r="E24">
        <v>6246</v>
      </c>
      <c r="F24">
        <v>320</v>
      </c>
      <c r="G24">
        <v>247</v>
      </c>
      <c r="H24" t="s">
        <v>133</v>
      </c>
      <c r="I24" t="s">
        <v>134</v>
      </c>
      <c r="J24" s="275" t="s">
        <v>1663</v>
      </c>
      <c r="K24">
        <f t="shared" si="3"/>
        <v>54</v>
      </c>
      <c r="L24">
        <f t="shared" si="4"/>
        <v>204</v>
      </c>
      <c r="M24">
        <f t="shared" si="5"/>
        <v>218</v>
      </c>
    </row>
    <row r="25" spans="1:13" x14ac:dyDescent="0.15">
      <c r="A25" t="s">
        <v>3129</v>
      </c>
      <c r="B25">
        <v>215</v>
      </c>
      <c r="C25">
        <v>928</v>
      </c>
      <c r="D25">
        <v>1311</v>
      </c>
      <c r="E25">
        <v>6017</v>
      </c>
      <c r="F25">
        <v>318</v>
      </c>
      <c r="G25">
        <v>2445</v>
      </c>
      <c r="H25" t="s">
        <v>135</v>
      </c>
      <c r="I25" t="s">
        <v>136</v>
      </c>
      <c r="J25" s="276" t="s">
        <v>1665</v>
      </c>
      <c r="K25">
        <f t="shared" si="3"/>
        <v>0</v>
      </c>
      <c r="L25">
        <f t="shared" si="4"/>
        <v>151</v>
      </c>
      <c r="M25">
        <f t="shared" si="5"/>
        <v>172</v>
      </c>
    </row>
    <row r="26" spans="1:13" x14ac:dyDescent="0.15">
      <c r="A26" t="s">
        <v>3130</v>
      </c>
      <c r="B26" t="s">
        <v>137</v>
      </c>
      <c r="C26">
        <v>845</v>
      </c>
      <c r="D26">
        <v>510</v>
      </c>
      <c r="E26">
        <v>3500</v>
      </c>
      <c r="F26">
        <v>346</v>
      </c>
      <c r="G26">
        <v>190</v>
      </c>
      <c r="H26" t="s">
        <v>138</v>
      </c>
      <c r="I26" t="s">
        <v>139</v>
      </c>
      <c r="J26" s="277" t="s">
        <v>1667</v>
      </c>
      <c r="K26">
        <f t="shared" si="3"/>
        <v>0</v>
      </c>
      <c r="L26">
        <f t="shared" si="4"/>
        <v>129</v>
      </c>
      <c r="M26">
        <f t="shared" si="5"/>
        <v>147</v>
      </c>
    </row>
    <row r="27" spans="1:13" x14ac:dyDescent="0.15">
      <c r="A27" t="s">
        <v>3131</v>
      </c>
      <c r="B27">
        <v>978</v>
      </c>
      <c r="C27">
        <v>889</v>
      </c>
      <c r="D27">
        <v>1004</v>
      </c>
      <c r="E27">
        <v>7978</v>
      </c>
      <c r="F27" t="s">
        <v>140</v>
      </c>
      <c r="G27">
        <v>354</v>
      </c>
      <c r="H27" t="s">
        <v>141</v>
      </c>
      <c r="I27" t="s">
        <v>142</v>
      </c>
      <c r="J27" s="278" t="s">
        <v>1669</v>
      </c>
      <c r="K27">
        <f t="shared" si="3"/>
        <v>0</v>
      </c>
      <c r="L27">
        <f t="shared" si="4"/>
        <v>111</v>
      </c>
      <c r="M27">
        <f t="shared" si="5"/>
        <v>122</v>
      </c>
    </row>
    <row r="28" spans="1:13" x14ac:dyDescent="0.15">
      <c r="A28" t="s">
        <v>3132</v>
      </c>
      <c r="B28">
        <v>59</v>
      </c>
      <c r="C28">
        <v>848</v>
      </c>
      <c r="D28">
        <v>508</v>
      </c>
      <c r="E28">
        <v>3401</v>
      </c>
      <c r="F28" t="s">
        <v>143</v>
      </c>
      <c r="G28">
        <v>190</v>
      </c>
      <c r="H28" t="s">
        <v>144</v>
      </c>
      <c r="I28" t="s">
        <v>145</v>
      </c>
      <c r="J28" s="282" t="s">
        <v>1677</v>
      </c>
      <c r="K28">
        <f t="shared" si="3"/>
        <v>0</v>
      </c>
      <c r="L28">
        <f t="shared" si="4"/>
        <v>175</v>
      </c>
      <c r="M28">
        <f t="shared" si="5"/>
        <v>173</v>
      </c>
    </row>
    <row r="29" spans="1:13" x14ac:dyDescent="0.15">
      <c r="A29" t="s">
        <v>3133</v>
      </c>
      <c r="B29">
        <v>100</v>
      </c>
      <c r="C29">
        <v>870</v>
      </c>
      <c r="D29">
        <v>805</v>
      </c>
      <c r="E29">
        <v>4101</v>
      </c>
      <c r="F29" t="s">
        <v>146</v>
      </c>
      <c r="G29">
        <v>6655</v>
      </c>
      <c r="H29" t="s">
        <v>147</v>
      </c>
      <c r="I29" t="s">
        <v>148</v>
      </c>
      <c r="J29" s="283" t="s">
        <v>1679</v>
      </c>
      <c r="K29">
        <f t="shared" si="3"/>
        <v>0</v>
      </c>
      <c r="L29">
        <f t="shared" si="4"/>
        <v>133</v>
      </c>
      <c r="M29">
        <f t="shared" si="5"/>
        <v>121</v>
      </c>
    </row>
    <row r="30" spans="1:13" x14ac:dyDescent="0.15">
      <c r="A30" t="s">
        <v>3134</v>
      </c>
      <c r="B30">
        <v>110</v>
      </c>
      <c r="C30">
        <v>877</v>
      </c>
      <c r="D30">
        <v>903</v>
      </c>
      <c r="E30">
        <v>7045</v>
      </c>
      <c r="F30">
        <v>176</v>
      </c>
      <c r="G30">
        <v>615</v>
      </c>
      <c r="H30" t="s">
        <v>149</v>
      </c>
      <c r="I30" t="s">
        <v>150</v>
      </c>
      <c r="J30" s="289" t="s">
        <v>1691</v>
      </c>
      <c r="K30">
        <f t="shared" si="3"/>
        <v>67</v>
      </c>
      <c r="L30">
        <f t="shared" si="4"/>
        <v>217</v>
      </c>
      <c r="M30">
        <f t="shared" si="5"/>
        <v>199</v>
      </c>
    </row>
    <row r="31" spans="1:13" x14ac:dyDescent="0.15">
      <c r="A31" t="s">
        <v>3135</v>
      </c>
      <c r="B31">
        <v>977</v>
      </c>
      <c r="C31">
        <v>889</v>
      </c>
      <c r="D31">
        <v>1003</v>
      </c>
      <c r="E31">
        <v>7977</v>
      </c>
      <c r="F31" t="s">
        <v>151</v>
      </c>
      <c r="G31">
        <v>353</v>
      </c>
      <c r="H31" t="s">
        <v>152</v>
      </c>
      <c r="I31" t="s">
        <v>153</v>
      </c>
      <c r="J31" s="291" t="s">
        <v>1695</v>
      </c>
      <c r="K31">
        <f t="shared" si="3"/>
        <v>0</v>
      </c>
      <c r="L31">
        <f t="shared" si="4"/>
        <v>152</v>
      </c>
      <c r="M31">
        <f t="shared" si="5"/>
        <v>120</v>
      </c>
    </row>
    <row r="32" spans="1:13" x14ac:dyDescent="0.15">
      <c r="A32" t="s">
        <v>3136</v>
      </c>
      <c r="B32">
        <v>38</v>
      </c>
      <c r="C32">
        <v>847</v>
      </c>
      <c r="D32">
        <v>506</v>
      </c>
      <c r="E32">
        <v>3283</v>
      </c>
      <c r="F32">
        <v>106</v>
      </c>
      <c r="G32">
        <v>1120</v>
      </c>
      <c r="H32" t="s">
        <v>154</v>
      </c>
      <c r="I32" t="s">
        <v>155</v>
      </c>
      <c r="J32" s="292" t="s">
        <v>1697</v>
      </c>
      <c r="K32">
        <f t="shared" si="3"/>
        <v>0</v>
      </c>
      <c r="L32">
        <f t="shared" si="4"/>
        <v>123</v>
      </c>
      <c r="M32">
        <f t="shared" si="5"/>
        <v>99</v>
      </c>
    </row>
    <row r="33" spans="1:13" x14ac:dyDescent="0.15">
      <c r="A33" t="s">
        <v>3137</v>
      </c>
      <c r="B33" t="s">
        <v>156</v>
      </c>
      <c r="C33">
        <v>885</v>
      </c>
      <c r="D33">
        <v>1007</v>
      </c>
      <c r="E33">
        <v>7981</v>
      </c>
      <c r="F33" t="s">
        <v>157</v>
      </c>
      <c r="G33">
        <v>356</v>
      </c>
      <c r="H33" t="s">
        <v>158</v>
      </c>
      <c r="I33" t="s">
        <v>159</v>
      </c>
      <c r="J33" s="293" t="s">
        <v>1699</v>
      </c>
      <c r="K33">
        <f t="shared" si="3"/>
        <v>0</v>
      </c>
      <c r="L33">
        <f t="shared" si="4"/>
        <v>102</v>
      </c>
      <c r="M33">
        <f t="shared" si="5"/>
        <v>81</v>
      </c>
    </row>
    <row r="34" spans="1:13" x14ac:dyDescent="0.15">
      <c r="A34" t="s">
        <v>3138</v>
      </c>
      <c r="B34">
        <v>118</v>
      </c>
      <c r="C34">
        <v>876</v>
      </c>
      <c r="D34">
        <v>902</v>
      </c>
      <c r="E34">
        <v>7110</v>
      </c>
      <c r="F34">
        <v>173</v>
      </c>
      <c r="G34">
        <v>614</v>
      </c>
      <c r="H34" t="s">
        <v>160</v>
      </c>
      <c r="I34" t="s">
        <v>161</v>
      </c>
      <c r="J34" s="297" t="s">
        <v>1707</v>
      </c>
      <c r="K34">
        <f t="shared" si="3"/>
        <v>0</v>
      </c>
      <c r="L34">
        <f t="shared" si="4"/>
        <v>148</v>
      </c>
      <c r="M34">
        <f t="shared" si="5"/>
        <v>96</v>
      </c>
    </row>
    <row r="35" spans="1:13" x14ac:dyDescent="0.15">
      <c r="A35" t="s">
        <v>3139</v>
      </c>
      <c r="B35">
        <v>117</v>
      </c>
      <c r="C35">
        <v>879</v>
      </c>
      <c r="D35">
        <v>901</v>
      </c>
      <c r="E35">
        <v>7005</v>
      </c>
      <c r="F35">
        <v>172</v>
      </c>
      <c r="G35">
        <v>612</v>
      </c>
      <c r="H35" t="s">
        <v>162</v>
      </c>
      <c r="I35" t="s">
        <v>163</v>
      </c>
      <c r="J35" s="298" t="s">
        <v>1709</v>
      </c>
      <c r="K35">
        <f t="shared" si="3"/>
        <v>0</v>
      </c>
      <c r="L35">
        <f t="shared" si="4"/>
        <v>120</v>
      </c>
      <c r="M35">
        <f t="shared" si="5"/>
        <v>86</v>
      </c>
    </row>
    <row r="36" spans="1:13" x14ac:dyDescent="0.15">
      <c r="A36" t="s">
        <v>3140</v>
      </c>
      <c r="B36">
        <v>1025</v>
      </c>
      <c r="C36">
        <v>846</v>
      </c>
      <c r="D36">
        <v>407</v>
      </c>
      <c r="E36">
        <v>3013</v>
      </c>
      <c r="F36" t="s">
        <v>164</v>
      </c>
      <c r="G36">
        <v>188</v>
      </c>
      <c r="H36" t="s">
        <v>165</v>
      </c>
      <c r="I36" t="s">
        <v>166</v>
      </c>
      <c r="J36" s="304" t="s">
        <v>1721</v>
      </c>
      <c r="K36">
        <f t="shared" si="3"/>
        <v>0</v>
      </c>
      <c r="L36">
        <f t="shared" si="4"/>
        <v>149</v>
      </c>
      <c r="M36">
        <f t="shared" si="5"/>
        <v>67</v>
      </c>
    </row>
    <row r="37" spans="1:13" x14ac:dyDescent="0.15">
      <c r="A37" t="s">
        <v>3141</v>
      </c>
      <c r="B37">
        <v>13</v>
      </c>
      <c r="C37">
        <v>835</v>
      </c>
      <c r="D37">
        <v>212</v>
      </c>
      <c r="E37">
        <v>2335</v>
      </c>
      <c r="F37" t="s">
        <v>167</v>
      </c>
      <c r="G37">
        <v>1027</v>
      </c>
      <c r="H37" t="s">
        <v>168</v>
      </c>
      <c r="I37" t="s">
        <v>169</v>
      </c>
      <c r="J37" s="306" t="s">
        <v>1725</v>
      </c>
      <c r="K37">
        <f t="shared" si="3"/>
        <v>0</v>
      </c>
      <c r="L37">
        <f t="shared" si="4"/>
        <v>98</v>
      </c>
      <c r="M37">
        <f t="shared" si="5"/>
        <v>51</v>
      </c>
    </row>
    <row r="38" spans="1:13" x14ac:dyDescent="0.15">
      <c r="A38" t="s">
        <v>3142</v>
      </c>
      <c r="B38" s="42">
        <v>44145</v>
      </c>
      <c r="C38">
        <v>831</v>
      </c>
      <c r="D38">
        <v>213</v>
      </c>
      <c r="E38">
        <v>3111</v>
      </c>
      <c r="F38" t="s">
        <v>170</v>
      </c>
      <c r="G38">
        <v>186</v>
      </c>
      <c r="H38" t="s">
        <v>171</v>
      </c>
      <c r="I38" t="s">
        <v>172</v>
      </c>
      <c r="J38" s="307" t="s">
        <v>1727</v>
      </c>
      <c r="K38">
        <f t="shared" si="3"/>
        <v>24</v>
      </c>
      <c r="L38">
        <f t="shared" si="4"/>
        <v>71</v>
      </c>
      <c r="M38">
        <f t="shared" si="5"/>
        <v>44</v>
      </c>
    </row>
    <row r="39" spans="1:13" x14ac:dyDescent="0.15">
      <c r="A39" t="s">
        <v>3143</v>
      </c>
      <c r="B39">
        <v>11</v>
      </c>
      <c r="C39">
        <v>839</v>
      </c>
      <c r="D39">
        <v>214</v>
      </c>
      <c r="E39">
        <v>3011</v>
      </c>
      <c r="F39" t="s">
        <v>173</v>
      </c>
      <c r="G39">
        <v>184</v>
      </c>
      <c r="H39" t="s">
        <v>174</v>
      </c>
      <c r="I39" t="s">
        <v>175</v>
      </c>
      <c r="J39" s="308" t="s">
        <v>1729</v>
      </c>
      <c r="K39">
        <f t="shared" si="3"/>
        <v>167</v>
      </c>
      <c r="L39">
        <f t="shared" si="4"/>
        <v>230</v>
      </c>
      <c r="M39">
        <f t="shared" si="5"/>
        <v>196</v>
      </c>
    </row>
    <row r="40" spans="1:13" x14ac:dyDescent="0.15">
      <c r="A40" t="s">
        <v>3144</v>
      </c>
      <c r="B40">
        <v>9</v>
      </c>
      <c r="C40">
        <v>830</v>
      </c>
      <c r="D40">
        <v>303</v>
      </c>
      <c r="E40">
        <v>3008</v>
      </c>
      <c r="F40" t="s">
        <v>176</v>
      </c>
      <c r="G40">
        <v>184</v>
      </c>
      <c r="H40" t="s">
        <v>177</v>
      </c>
      <c r="I40" t="s">
        <v>178</v>
      </c>
      <c r="J40" s="309" t="s">
        <v>1731</v>
      </c>
      <c r="K40">
        <f t="shared" si="3"/>
        <v>135</v>
      </c>
      <c r="L40">
        <f t="shared" si="4"/>
        <v>224</v>
      </c>
      <c r="M40">
        <f t="shared" si="5"/>
        <v>176</v>
      </c>
    </row>
    <row r="41" spans="1:13" x14ac:dyDescent="0.15">
      <c r="A41" t="s">
        <v>3145</v>
      </c>
      <c r="B41">
        <v>6</v>
      </c>
      <c r="C41">
        <v>832</v>
      </c>
      <c r="D41">
        <v>304</v>
      </c>
      <c r="E41">
        <v>3006</v>
      </c>
      <c r="F41" t="s">
        <v>179</v>
      </c>
      <c r="G41">
        <v>180</v>
      </c>
      <c r="H41" t="s">
        <v>180</v>
      </c>
      <c r="I41" t="s">
        <v>181</v>
      </c>
      <c r="J41" s="310" t="s">
        <v>1733</v>
      </c>
      <c r="K41">
        <f t="shared" si="3"/>
        <v>106</v>
      </c>
      <c r="L41">
        <f t="shared" si="4"/>
        <v>220</v>
      </c>
      <c r="M41">
        <f t="shared" si="5"/>
        <v>162</v>
      </c>
    </row>
    <row r="42" spans="1:13" x14ac:dyDescent="0.15">
      <c r="A42" t="s">
        <v>3146</v>
      </c>
      <c r="B42">
        <v>1014</v>
      </c>
      <c r="C42">
        <v>971</v>
      </c>
      <c r="D42">
        <v>401</v>
      </c>
      <c r="E42">
        <v>2339</v>
      </c>
      <c r="F42">
        <v>467</v>
      </c>
      <c r="G42">
        <v>769</v>
      </c>
      <c r="H42" t="s">
        <v>182</v>
      </c>
      <c r="I42" t="s">
        <v>183</v>
      </c>
      <c r="J42" s="312" t="s">
        <v>1737</v>
      </c>
      <c r="K42">
        <f t="shared" si="3"/>
        <v>0</v>
      </c>
      <c r="L42">
        <f t="shared" si="4"/>
        <v>149</v>
      </c>
      <c r="M42">
        <f t="shared" si="5"/>
        <v>48</v>
      </c>
    </row>
    <row r="43" spans="1:13" x14ac:dyDescent="0.15">
      <c r="A43" t="s">
        <v>3147</v>
      </c>
      <c r="B43">
        <v>338</v>
      </c>
      <c r="C43">
        <v>969</v>
      </c>
      <c r="D43">
        <v>402</v>
      </c>
      <c r="E43">
        <v>2338</v>
      </c>
      <c r="F43">
        <v>465</v>
      </c>
      <c r="G43">
        <v>768</v>
      </c>
      <c r="H43" t="s">
        <v>184</v>
      </c>
      <c r="I43" t="s">
        <v>185</v>
      </c>
      <c r="J43" s="313" t="s">
        <v>1739</v>
      </c>
      <c r="K43">
        <f t="shared" si="3"/>
        <v>0</v>
      </c>
      <c r="L43">
        <f t="shared" si="4"/>
        <v>114</v>
      </c>
      <c r="M43">
        <f t="shared" si="5"/>
        <v>41</v>
      </c>
    </row>
    <row r="44" spans="1:13" x14ac:dyDescent="0.15">
      <c r="A44" t="s">
        <v>3148</v>
      </c>
      <c r="B44">
        <v>217</v>
      </c>
      <c r="C44">
        <v>924</v>
      </c>
      <c r="D44">
        <v>1312</v>
      </c>
      <c r="E44">
        <v>6018</v>
      </c>
      <c r="F44" t="s">
        <v>186</v>
      </c>
      <c r="G44">
        <v>245</v>
      </c>
      <c r="H44" t="s">
        <v>187</v>
      </c>
      <c r="I44" t="s">
        <v>188</v>
      </c>
      <c r="J44" s="323" t="s">
        <v>1761</v>
      </c>
      <c r="K44">
        <f t="shared" si="3"/>
        <v>164</v>
      </c>
      <c r="L44">
        <f t="shared" si="4"/>
        <v>216</v>
      </c>
      <c r="M44">
        <f t="shared" si="5"/>
        <v>103</v>
      </c>
    </row>
    <row r="45" spans="1:13" x14ac:dyDescent="0.15">
      <c r="A45" t="s">
        <v>3149</v>
      </c>
      <c r="B45">
        <v>214</v>
      </c>
      <c r="C45">
        <v>927</v>
      </c>
      <c r="D45">
        <v>1310</v>
      </c>
      <c r="E45">
        <v>6016</v>
      </c>
      <c r="F45" t="s">
        <v>189</v>
      </c>
      <c r="G45">
        <v>244</v>
      </c>
      <c r="H45" t="s">
        <v>190</v>
      </c>
      <c r="I45" t="s">
        <v>191</v>
      </c>
      <c r="J45" s="324" t="s">
        <v>1763</v>
      </c>
      <c r="K45">
        <f t="shared" si="3"/>
        <v>98</v>
      </c>
      <c r="L45">
        <f t="shared" si="4"/>
        <v>189</v>
      </c>
      <c r="M45">
        <f t="shared" si="5"/>
        <v>25</v>
      </c>
    </row>
    <row r="46" spans="1:13" x14ac:dyDescent="0.15">
      <c r="A46" t="s">
        <v>3150</v>
      </c>
      <c r="B46">
        <v>1043</v>
      </c>
      <c r="C46">
        <v>926</v>
      </c>
      <c r="D46">
        <v>1309</v>
      </c>
      <c r="E46">
        <v>6015</v>
      </c>
      <c r="F46">
        <v>316</v>
      </c>
      <c r="G46">
        <v>251</v>
      </c>
      <c r="H46" t="s">
        <v>192</v>
      </c>
      <c r="I46" t="s">
        <v>193</v>
      </c>
      <c r="J46" s="325" t="s">
        <v>1765</v>
      </c>
      <c r="K46">
        <f t="shared" si="3"/>
        <v>79</v>
      </c>
      <c r="L46">
        <f t="shared" si="4"/>
        <v>166</v>
      </c>
      <c r="M46">
        <f t="shared" si="5"/>
        <v>0</v>
      </c>
    </row>
    <row r="47" spans="1:13" x14ac:dyDescent="0.15">
      <c r="A47" t="s">
        <v>3151</v>
      </c>
      <c r="B47" t="s">
        <v>194</v>
      </c>
      <c r="C47">
        <v>956</v>
      </c>
      <c r="D47">
        <v>2112</v>
      </c>
      <c r="E47" t="s">
        <v>69</v>
      </c>
      <c r="F47">
        <v>774</v>
      </c>
      <c r="G47">
        <v>565</v>
      </c>
      <c r="H47" t="s">
        <v>195</v>
      </c>
      <c r="I47" t="s">
        <v>196</v>
      </c>
      <c r="J47" s="326" t="s">
        <v>1767</v>
      </c>
      <c r="K47">
        <f t="shared" si="3"/>
        <v>79</v>
      </c>
      <c r="L47">
        <f t="shared" si="4"/>
        <v>138</v>
      </c>
      <c r="M47">
        <f t="shared" si="5"/>
        <v>16</v>
      </c>
    </row>
    <row r="48" spans="1:13" x14ac:dyDescent="0.15">
      <c r="A48" t="s">
        <v>3152</v>
      </c>
      <c r="B48" t="s">
        <v>197</v>
      </c>
      <c r="C48">
        <v>955</v>
      </c>
      <c r="D48">
        <v>2111</v>
      </c>
      <c r="E48" t="s">
        <v>69</v>
      </c>
      <c r="F48">
        <v>823</v>
      </c>
      <c r="G48">
        <v>843</v>
      </c>
      <c r="H48" t="s">
        <v>198</v>
      </c>
      <c r="I48" t="s">
        <v>199</v>
      </c>
      <c r="J48" s="327" t="s">
        <v>1769</v>
      </c>
      <c r="K48">
        <f t="shared" si="3"/>
        <v>74</v>
      </c>
      <c r="L48">
        <f t="shared" si="4"/>
        <v>96</v>
      </c>
      <c r="M48">
        <f t="shared" si="5"/>
        <v>28</v>
      </c>
    </row>
    <row r="49" spans="1:13" x14ac:dyDescent="0.15">
      <c r="A49" t="s">
        <v>3153</v>
      </c>
      <c r="B49">
        <v>853</v>
      </c>
      <c r="C49">
        <v>954</v>
      </c>
      <c r="D49">
        <v>2110</v>
      </c>
      <c r="E49" t="s">
        <v>69</v>
      </c>
      <c r="F49">
        <v>684</v>
      </c>
      <c r="G49">
        <v>842</v>
      </c>
      <c r="H49" t="s">
        <v>200</v>
      </c>
      <c r="I49" t="s">
        <v>201</v>
      </c>
      <c r="J49" s="328" t="s">
        <v>1771</v>
      </c>
      <c r="K49">
        <f t="shared" si="3"/>
        <v>215</v>
      </c>
      <c r="L49">
        <f t="shared" si="4"/>
        <v>233</v>
      </c>
      <c r="M49">
        <f t="shared" si="5"/>
        <v>161</v>
      </c>
    </row>
    <row r="50" spans="1:13" x14ac:dyDescent="0.15">
      <c r="A50" t="s">
        <v>3154</v>
      </c>
      <c r="B50">
        <v>351</v>
      </c>
      <c r="C50">
        <v>964</v>
      </c>
      <c r="D50">
        <v>2305</v>
      </c>
      <c r="E50">
        <v>5349</v>
      </c>
      <c r="F50">
        <v>130</v>
      </c>
      <c r="G50">
        <v>786</v>
      </c>
      <c r="H50" t="s">
        <v>202</v>
      </c>
      <c r="I50" t="s">
        <v>203</v>
      </c>
      <c r="J50" s="356" t="s">
        <v>1827</v>
      </c>
      <c r="K50">
        <f t="shared" si="3"/>
        <v>205</v>
      </c>
      <c r="L50">
        <f t="shared" si="4"/>
        <v>201</v>
      </c>
      <c r="M50">
        <f t="shared" si="5"/>
        <v>196</v>
      </c>
    </row>
    <row r="51" spans="1:13" x14ac:dyDescent="0.15">
      <c r="A51" t="s">
        <v>3155</v>
      </c>
      <c r="B51" t="s">
        <v>204</v>
      </c>
      <c r="C51">
        <v>965</v>
      </c>
      <c r="D51">
        <v>2307</v>
      </c>
      <c r="E51">
        <v>2306</v>
      </c>
      <c r="F51" t="s">
        <v>205</v>
      </c>
      <c r="G51">
        <v>782</v>
      </c>
      <c r="H51" t="s">
        <v>206</v>
      </c>
      <c r="I51" t="s">
        <v>207</v>
      </c>
      <c r="J51" s="358" t="s">
        <v>1831</v>
      </c>
      <c r="K51">
        <f t="shared" si="3"/>
        <v>173</v>
      </c>
      <c r="L51">
        <f t="shared" si="4"/>
        <v>165</v>
      </c>
      <c r="M51">
        <f t="shared" si="5"/>
        <v>157</v>
      </c>
    </row>
    <row r="52" spans="1:13" x14ac:dyDescent="0.15">
      <c r="A52" t="s">
        <v>3156</v>
      </c>
      <c r="B52">
        <v>914</v>
      </c>
      <c r="C52">
        <v>980</v>
      </c>
      <c r="D52">
        <v>2310</v>
      </c>
      <c r="E52">
        <v>2337</v>
      </c>
      <c r="F52">
        <v>425</v>
      </c>
      <c r="G52">
        <v>766</v>
      </c>
      <c r="H52" t="s">
        <v>208</v>
      </c>
      <c r="I52" t="s">
        <v>209</v>
      </c>
      <c r="J52" s="363" t="s">
        <v>1843</v>
      </c>
      <c r="K52">
        <f t="shared" si="3"/>
        <v>181</v>
      </c>
      <c r="L52">
        <f t="shared" si="4"/>
        <v>172</v>
      </c>
      <c r="M52">
        <f t="shared" si="5"/>
        <v>166</v>
      </c>
    </row>
    <row r="53" spans="1:13" x14ac:dyDescent="0.15">
      <c r="A53" t="s">
        <v>3157</v>
      </c>
      <c r="B53">
        <v>401</v>
      </c>
      <c r="C53">
        <v>992</v>
      </c>
      <c r="D53">
        <v>1713</v>
      </c>
      <c r="E53">
        <v>8514</v>
      </c>
      <c r="F53">
        <v>155</v>
      </c>
      <c r="G53">
        <v>487</v>
      </c>
      <c r="H53" t="s">
        <v>210</v>
      </c>
      <c r="I53" t="s">
        <v>211</v>
      </c>
      <c r="J53" s="369" t="s">
        <v>1855</v>
      </c>
      <c r="K53">
        <f t="shared" si="3"/>
        <v>200</v>
      </c>
      <c r="L53">
        <f t="shared" si="4"/>
        <v>201</v>
      </c>
      <c r="M53">
        <f t="shared" si="5"/>
        <v>195</v>
      </c>
    </row>
    <row r="54" spans="1:13" x14ac:dyDescent="0.15">
      <c r="A54" t="s">
        <v>3158</v>
      </c>
      <c r="B54">
        <v>235</v>
      </c>
      <c r="C54">
        <v>987</v>
      </c>
      <c r="D54">
        <v>1801</v>
      </c>
      <c r="E54">
        <v>8513</v>
      </c>
      <c r="F54">
        <v>154</v>
      </c>
      <c r="G54">
        <v>485</v>
      </c>
      <c r="H54" t="s">
        <v>212</v>
      </c>
      <c r="I54" t="s">
        <v>213</v>
      </c>
      <c r="J54" s="370" t="s">
        <v>1857</v>
      </c>
      <c r="K54">
        <f t="shared" si="3"/>
        <v>181</v>
      </c>
      <c r="L54">
        <f t="shared" si="4"/>
        <v>182</v>
      </c>
      <c r="M54">
        <f t="shared" si="5"/>
        <v>176</v>
      </c>
    </row>
    <row r="55" spans="1:13" x14ac:dyDescent="0.15">
      <c r="A55" t="s">
        <v>3159</v>
      </c>
      <c r="B55">
        <v>398</v>
      </c>
      <c r="C55">
        <v>989</v>
      </c>
      <c r="D55">
        <v>1803</v>
      </c>
      <c r="E55">
        <v>8398</v>
      </c>
      <c r="F55">
        <v>152</v>
      </c>
      <c r="G55">
        <v>484</v>
      </c>
      <c r="H55" t="s">
        <v>214</v>
      </c>
      <c r="I55" t="s">
        <v>215</v>
      </c>
      <c r="J55" s="371" t="s">
        <v>1859</v>
      </c>
      <c r="K55">
        <f t="shared" si="3"/>
        <v>157</v>
      </c>
      <c r="L55">
        <f t="shared" si="4"/>
        <v>157</v>
      </c>
      <c r="M55">
        <f t="shared" si="5"/>
        <v>150</v>
      </c>
    </row>
    <row r="56" spans="1:13" x14ac:dyDescent="0.15">
      <c r="A56" t="s">
        <v>3160</v>
      </c>
      <c r="B56" t="s">
        <v>216</v>
      </c>
      <c r="C56">
        <v>960</v>
      </c>
      <c r="D56">
        <v>2104</v>
      </c>
      <c r="E56">
        <v>5374</v>
      </c>
      <c r="F56" t="s">
        <v>217</v>
      </c>
      <c r="G56">
        <v>736</v>
      </c>
      <c r="H56" t="s">
        <v>218</v>
      </c>
      <c r="I56" t="s">
        <v>219</v>
      </c>
      <c r="J56" s="43" t="s">
        <v>1869</v>
      </c>
      <c r="K56">
        <f t="shared" si="3"/>
        <v>204</v>
      </c>
      <c r="L56">
        <f t="shared" si="4"/>
        <v>204</v>
      </c>
      <c r="M56">
        <f t="shared" si="5"/>
        <v>204</v>
      </c>
    </row>
    <row r="57" spans="1:13" x14ac:dyDescent="0.15">
      <c r="A57" t="s">
        <v>3161</v>
      </c>
      <c r="B57">
        <v>943</v>
      </c>
      <c r="C57">
        <v>958</v>
      </c>
      <c r="D57">
        <v>2102</v>
      </c>
      <c r="E57">
        <v>5372</v>
      </c>
      <c r="F57">
        <v>307</v>
      </c>
      <c r="G57">
        <v>722</v>
      </c>
      <c r="H57" t="s">
        <v>220</v>
      </c>
      <c r="I57" t="s">
        <v>221</v>
      </c>
      <c r="J57" s="377" t="s">
        <v>1873</v>
      </c>
      <c r="K57">
        <f t="shared" si="3"/>
        <v>169</v>
      </c>
      <c r="L57">
        <f t="shared" si="4"/>
        <v>170</v>
      </c>
      <c r="M57">
        <f t="shared" si="5"/>
        <v>171</v>
      </c>
    </row>
    <row r="58" spans="1:13" x14ac:dyDescent="0.15">
      <c r="A58" t="s">
        <v>3162</v>
      </c>
      <c r="B58" t="s">
        <v>222</v>
      </c>
      <c r="C58">
        <v>974</v>
      </c>
      <c r="D58">
        <v>2008</v>
      </c>
      <c r="E58">
        <v>5471</v>
      </c>
      <c r="F58" t="s">
        <v>223</v>
      </c>
      <c r="G58">
        <v>737</v>
      </c>
      <c r="H58" t="s">
        <v>224</v>
      </c>
      <c r="I58" t="s">
        <v>225</v>
      </c>
      <c r="J58" s="387" t="s">
        <v>1895</v>
      </c>
      <c r="K58">
        <f t="shared" si="3"/>
        <v>33</v>
      </c>
      <c r="L58">
        <f t="shared" si="4"/>
        <v>41</v>
      </c>
      <c r="M58">
        <f t="shared" si="5"/>
        <v>48</v>
      </c>
    </row>
    <row r="59" spans="1:13" x14ac:dyDescent="0.15">
      <c r="A59" t="s">
        <v>3163</v>
      </c>
      <c r="B59" t="s">
        <v>226</v>
      </c>
      <c r="C59">
        <v>973</v>
      </c>
      <c r="D59">
        <v>2009</v>
      </c>
      <c r="E59">
        <v>5000</v>
      </c>
      <c r="F59">
        <v>309</v>
      </c>
      <c r="G59">
        <v>516</v>
      </c>
      <c r="H59" t="s">
        <v>227</v>
      </c>
      <c r="I59" t="s">
        <v>228</v>
      </c>
      <c r="J59" s="388" t="s">
        <v>1897</v>
      </c>
      <c r="K59">
        <f t="shared" si="3"/>
        <v>211</v>
      </c>
      <c r="L59">
        <f t="shared" si="4"/>
        <v>201</v>
      </c>
      <c r="M59">
        <f t="shared" si="5"/>
        <v>206</v>
      </c>
    </row>
    <row r="60" spans="1:13" x14ac:dyDescent="0.15">
      <c r="A60" t="s">
        <v>3164</v>
      </c>
      <c r="B60" t="s">
        <v>229</v>
      </c>
      <c r="C60">
        <v>960</v>
      </c>
      <c r="D60">
        <v>2010</v>
      </c>
      <c r="E60">
        <v>5371</v>
      </c>
      <c r="F60">
        <v>308</v>
      </c>
      <c r="G60">
        <v>516</v>
      </c>
      <c r="H60" t="s">
        <v>230</v>
      </c>
      <c r="I60" t="s">
        <v>231</v>
      </c>
      <c r="J60" s="389" t="s">
        <v>1899</v>
      </c>
      <c r="K60">
        <f t="shared" si="3"/>
        <v>200</v>
      </c>
      <c r="L60">
        <f t="shared" si="4"/>
        <v>186</v>
      </c>
      <c r="M60">
        <f t="shared" si="5"/>
        <v>192</v>
      </c>
    </row>
    <row r="61" spans="1:13" x14ac:dyDescent="0.15">
      <c r="A61" t="s">
        <v>3165</v>
      </c>
      <c r="B61">
        <v>1045</v>
      </c>
      <c r="C61">
        <v>959</v>
      </c>
      <c r="D61">
        <v>2011</v>
      </c>
      <c r="E61">
        <v>5943</v>
      </c>
      <c r="F61">
        <v>2307</v>
      </c>
      <c r="G61">
        <v>723</v>
      </c>
      <c r="H61" t="s">
        <v>232</v>
      </c>
      <c r="I61" t="s">
        <v>233</v>
      </c>
      <c r="J61" s="390" t="s">
        <v>1901</v>
      </c>
      <c r="K61">
        <f t="shared" si="3"/>
        <v>183</v>
      </c>
      <c r="L61">
        <f t="shared" si="4"/>
        <v>166</v>
      </c>
      <c r="M61">
        <f t="shared" si="5"/>
        <v>173</v>
      </c>
    </row>
    <row r="62" spans="1:13" x14ac:dyDescent="0.15">
      <c r="A62" t="s">
        <v>3166</v>
      </c>
      <c r="B62" t="s">
        <v>234</v>
      </c>
      <c r="C62">
        <v>958</v>
      </c>
      <c r="D62">
        <v>2012</v>
      </c>
      <c r="E62">
        <v>5942</v>
      </c>
      <c r="F62">
        <v>307</v>
      </c>
      <c r="G62">
        <v>722</v>
      </c>
      <c r="H62" t="s">
        <v>235</v>
      </c>
      <c r="I62" t="s">
        <v>236</v>
      </c>
      <c r="J62" s="391" t="s">
        <v>1903</v>
      </c>
      <c r="K62">
        <f t="shared" si="3"/>
        <v>132</v>
      </c>
      <c r="L62">
        <f t="shared" si="4"/>
        <v>110</v>
      </c>
      <c r="M62">
        <f t="shared" si="5"/>
        <v>116</v>
      </c>
    </row>
    <row r="63" spans="1:13" x14ac:dyDescent="0.15">
      <c r="A63" t="s">
        <v>3167</v>
      </c>
      <c r="B63" t="s">
        <v>237</v>
      </c>
      <c r="C63">
        <v>804</v>
      </c>
      <c r="D63">
        <v>106</v>
      </c>
      <c r="E63">
        <v>2298</v>
      </c>
      <c r="F63">
        <v>302</v>
      </c>
      <c r="G63">
        <v>546</v>
      </c>
      <c r="H63" t="s">
        <v>238</v>
      </c>
      <c r="I63" t="s">
        <v>239</v>
      </c>
      <c r="J63" s="398" t="s">
        <v>1917</v>
      </c>
      <c r="K63">
        <f t="shared" si="3"/>
        <v>123</v>
      </c>
      <c r="L63">
        <f t="shared" si="4"/>
        <v>133</v>
      </c>
      <c r="M63">
        <f t="shared" si="5"/>
        <v>138</v>
      </c>
    </row>
    <row r="64" spans="1:13" x14ac:dyDescent="0.15">
      <c r="A64" t="s">
        <v>3168</v>
      </c>
      <c r="B64">
        <v>288</v>
      </c>
      <c r="C64">
        <v>800</v>
      </c>
      <c r="D64">
        <v>103</v>
      </c>
      <c r="E64">
        <v>2288</v>
      </c>
      <c r="F64">
        <v>299</v>
      </c>
      <c r="G64">
        <v>541</v>
      </c>
      <c r="H64" t="s">
        <v>240</v>
      </c>
      <c r="I64" t="s">
        <v>241</v>
      </c>
      <c r="J64" s="399" t="s">
        <v>1919</v>
      </c>
      <c r="K64">
        <f t="shared" si="3"/>
        <v>79</v>
      </c>
      <c r="L64">
        <f t="shared" si="4"/>
        <v>85</v>
      </c>
      <c r="M64">
        <f t="shared" si="5"/>
        <v>89</v>
      </c>
    </row>
    <row r="65" spans="1:13" x14ac:dyDescent="0.15">
      <c r="A65" t="s">
        <v>3169</v>
      </c>
      <c r="B65">
        <v>233</v>
      </c>
      <c r="C65">
        <v>990</v>
      </c>
      <c r="D65">
        <v>1808</v>
      </c>
      <c r="E65">
        <v>8233</v>
      </c>
      <c r="F65">
        <v>475</v>
      </c>
      <c r="G65">
        <v>453</v>
      </c>
      <c r="H65" t="s">
        <v>242</v>
      </c>
      <c r="I65" t="s">
        <v>243</v>
      </c>
      <c r="J65" s="404" t="s">
        <v>1931</v>
      </c>
      <c r="K65">
        <f t="shared" si="3"/>
        <v>159</v>
      </c>
      <c r="L65">
        <f t="shared" si="4"/>
        <v>155</v>
      </c>
      <c r="M65">
        <f t="shared" si="5"/>
        <v>116</v>
      </c>
    </row>
    <row r="66" spans="1:13" x14ac:dyDescent="0.15">
      <c r="A66" t="s">
        <v>3170</v>
      </c>
      <c r="B66">
        <v>232</v>
      </c>
      <c r="C66">
        <v>989</v>
      </c>
      <c r="D66">
        <v>1807</v>
      </c>
      <c r="E66">
        <v>8232</v>
      </c>
      <c r="F66">
        <v>474</v>
      </c>
      <c r="G66">
        <v>452</v>
      </c>
      <c r="H66" t="s">
        <v>244</v>
      </c>
      <c r="I66" t="s">
        <v>245</v>
      </c>
      <c r="J66" s="405" t="s">
        <v>1933</v>
      </c>
      <c r="K66">
        <f t="shared" si="3"/>
        <v>181</v>
      </c>
      <c r="L66">
        <f t="shared" si="4"/>
        <v>178</v>
      </c>
      <c r="M66">
        <f t="shared" si="5"/>
        <v>146</v>
      </c>
    </row>
    <row r="67" spans="1:13" x14ac:dyDescent="0.15">
      <c r="A67" t="s">
        <v>3171</v>
      </c>
      <c r="B67">
        <v>231</v>
      </c>
      <c r="C67">
        <v>989</v>
      </c>
      <c r="D67">
        <v>1806</v>
      </c>
      <c r="E67">
        <v>8231</v>
      </c>
      <c r="F67" t="s">
        <v>246</v>
      </c>
      <c r="G67">
        <v>451</v>
      </c>
      <c r="H67" t="s">
        <v>247</v>
      </c>
      <c r="I67" t="s">
        <v>248</v>
      </c>
      <c r="J67" s="406" t="s">
        <v>1935</v>
      </c>
      <c r="K67">
        <f t="shared" si="3"/>
        <v>200</v>
      </c>
      <c r="L67">
        <f t="shared" si="4"/>
        <v>197</v>
      </c>
      <c r="M67">
        <f t="shared" si="5"/>
        <v>172</v>
      </c>
    </row>
    <row r="68" spans="1:13" x14ac:dyDescent="0.15">
      <c r="A68" t="s">
        <v>3172</v>
      </c>
      <c r="B68">
        <v>267</v>
      </c>
      <c r="C68">
        <v>951</v>
      </c>
      <c r="D68">
        <v>1503</v>
      </c>
      <c r="E68">
        <v>6261</v>
      </c>
      <c r="F68" t="s">
        <v>249</v>
      </c>
      <c r="G68">
        <v>216</v>
      </c>
      <c r="H68" t="s">
        <v>250</v>
      </c>
      <c r="I68" t="s">
        <v>251</v>
      </c>
      <c r="J68" s="422" t="s">
        <v>1967</v>
      </c>
      <c r="K68">
        <f t="shared" si="3"/>
        <v>97</v>
      </c>
      <c r="L68">
        <f t="shared" si="4"/>
        <v>52</v>
      </c>
      <c r="M68">
        <f t="shared" si="5"/>
        <v>24</v>
      </c>
    </row>
    <row r="69" spans="1:13" x14ac:dyDescent="0.15">
      <c r="A69" t="s">
        <v>3173</v>
      </c>
      <c r="B69">
        <v>267</v>
      </c>
      <c r="C69">
        <v>951</v>
      </c>
      <c r="D69">
        <v>1502</v>
      </c>
      <c r="E69">
        <v>6010</v>
      </c>
      <c r="F69" t="s">
        <v>252</v>
      </c>
      <c r="G69">
        <v>214</v>
      </c>
      <c r="H69" t="s">
        <v>253</v>
      </c>
      <c r="I69" t="s">
        <v>254</v>
      </c>
      <c r="J69" s="423" t="s">
        <v>1969</v>
      </c>
      <c r="K69">
        <f t="shared" si="3"/>
        <v>155</v>
      </c>
      <c r="L69">
        <f t="shared" si="4"/>
        <v>77</v>
      </c>
      <c r="M69">
        <f t="shared" si="5"/>
        <v>27</v>
      </c>
    </row>
    <row r="70" spans="1:13" x14ac:dyDescent="0.15">
      <c r="A70" t="s">
        <v>3174</v>
      </c>
      <c r="B70" t="s">
        <v>255</v>
      </c>
      <c r="C70">
        <v>945</v>
      </c>
      <c r="D70">
        <v>1501</v>
      </c>
      <c r="E70">
        <v>6255</v>
      </c>
      <c r="F70" t="s">
        <v>256</v>
      </c>
      <c r="G70">
        <v>212</v>
      </c>
      <c r="H70" t="s">
        <v>257</v>
      </c>
      <c r="I70" t="s">
        <v>258</v>
      </c>
      <c r="J70" s="424" t="s">
        <v>1971</v>
      </c>
      <c r="K70">
        <f t="shared" si="3"/>
        <v>183</v>
      </c>
      <c r="L70">
        <f t="shared" si="4"/>
        <v>83</v>
      </c>
      <c r="M70">
        <f t="shared" si="5"/>
        <v>18</v>
      </c>
    </row>
    <row r="71" spans="1:13" x14ac:dyDescent="0.15">
      <c r="A71" t="s">
        <v>3175</v>
      </c>
      <c r="B71" t="s">
        <v>259</v>
      </c>
      <c r="C71">
        <v>948</v>
      </c>
      <c r="D71">
        <v>1414</v>
      </c>
      <c r="E71">
        <v>6253</v>
      </c>
      <c r="F71" t="s">
        <v>260</v>
      </c>
      <c r="G71">
        <v>210</v>
      </c>
      <c r="H71" t="s">
        <v>261</v>
      </c>
      <c r="I71" t="s">
        <v>262</v>
      </c>
      <c r="J71" s="425" t="s">
        <v>1973</v>
      </c>
      <c r="K71">
        <f t="shared" si="3"/>
        <v>228</v>
      </c>
      <c r="L71">
        <f t="shared" si="4"/>
        <v>153</v>
      </c>
      <c r="M71">
        <f t="shared" si="5"/>
        <v>105</v>
      </c>
    </row>
    <row r="72" spans="1:13" x14ac:dyDescent="0.15">
      <c r="A72" t="s">
        <v>3176</v>
      </c>
      <c r="B72">
        <v>1005</v>
      </c>
      <c r="C72">
        <v>846</v>
      </c>
      <c r="D72">
        <v>511</v>
      </c>
      <c r="E72">
        <v>3410</v>
      </c>
      <c r="F72">
        <v>242</v>
      </c>
      <c r="G72">
        <v>192</v>
      </c>
      <c r="H72" t="s">
        <v>263</v>
      </c>
      <c r="I72" t="s">
        <v>264</v>
      </c>
      <c r="J72" s="451" t="s">
        <v>2025</v>
      </c>
      <c r="K72">
        <f t="shared" si="3"/>
        <v>104</v>
      </c>
      <c r="L72">
        <f t="shared" si="4"/>
        <v>50</v>
      </c>
      <c r="M72">
        <f t="shared" si="5"/>
        <v>46</v>
      </c>
    </row>
    <row r="73" spans="1:13" x14ac:dyDescent="0.15">
      <c r="A73" t="s">
        <v>3177</v>
      </c>
      <c r="B73" t="s">
        <v>265</v>
      </c>
      <c r="C73">
        <v>921</v>
      </c>
      <c r="D73">
        <v>1705</v>
      </c>
      <c r="E73">
        <v>6880</v>
      </c>
      <c r="F73">
        <v>537</v>
      </c>
      <c r="G73">
        <v>206</v>
      </c>
      <c r="H73" t="s">
        <v>266</v>
      </c>
      <c r="I73" t="s">
        <v>267</v>
      </c>
      <c r="J73" s="453" t="s">
        <v>2029</v>
      </c>
      <c r="K73">
        <f t="shared" si="3"/>
        <v>200</v>
      </c>
      <c r="L73">
        <f t="shared" si="4"/>
        <v>134</v>
      </c>
      <c r="M73">
        <f t="shared" si="5"/>
        <v>145</v>
      </c>
    </row>
    <row r="74" spans="1:13" x14ac:dyDescent="0.15">
      <c r="A74" t="s">
        <v>3178</v>
      </c>
      <c r="B74">
        <v>878</v>
      </c>
      <c r="C74">
        <v>924</v>
      </c>
      <c r="D74">
        <v>1704</v>
      </c>
      <c r="E74">
        <v>6878</v>
      </c>
      <c r="F74" t="s">
        <v>268</v>
      </c>
      <c r="G74">
        <v>204</v>
      </c>
      <c r="H74" t="s">
        <v>269</v>
      </c>
      <c r="I74" t="s">
        <v>270</v>
      </c>
      <c r="J74" s="454" t="s">
        <v>2031</v>
      </c>
      <c r="K74">
        <f t="shared" si="3"/>
        <v>222</v>
      </c>
      <c r="L74">
        <f t="shared" si="4"/>
        <v>172</v>
      </c>
      <c r="M74">
        <f t="shared" si="5"/>
        <v>183</v>
      </c>
    </row>
    <row r="75" spans="1:13" x14ac:dyDescent="0.15">
      <c r="A75" t="s">
        <v>3179</v>
      </c>
      <c r="B75">
        <v>876</v>
      </c>
      <c r="C75">
        <v>920</v>
      </c>
      <c r="D75">
        <v>1703</v>
      </c>
      <c r="E75">
        <v>6876</v>
      </c>
      <c r="F75">
        <v>535</v>
      </c>
      <c r="G75">
        <v>203</v>
      </c>
      <c r="H75" t="s">
        <v>271</v>
      </c>
      <c r="I75" t="s">
        <v>272</v>
      </c>
      <c r="J75" s="455" t="s">
        <v>2033</v>
      </c>
      <c r="K75">
        <f t="shared" si="3"/>
        <v>229</v>
      </c>
      <c r="L75">
        <f t="shared" si="4"/>
        <v>191</v>
      </c>
      <c r="M75">
        <f t="shared" si="5"/>
        <v>199</v>
      </c>
    </row>
    <row r="76" spans="1:13" x14ac:dyDescent="0.15">
      <c r="A76" t="s">
        <v>3180</v>
      </c>
      <c r="B76">
        <v>875</v>
      </c>
      <c r="C76">
        <v>919</v>
      </c>
      <c r="D76">
        <v>1702</v>
      </c>
      <c r="E76">
        <v>6879</v>
      </c>
      <c r="F76">
        <v>534</v>
      </c>
      <c r="G76">
        <v>202</v>
      </c>
      <c r="H76" t="s">
        <v>273</v>
      </c>
      <c r="I76" t="s">
        <v>274</v>
      </c>
      <c r="J76" s="456" t="s">
        <v>2035</v>
      </c>
      <c r="K76">
        <f t="shared" si="3"/>
        <v>233</v>
      </c>
      <c r="L76">
        <f t="shared" si="4"/>
        <v>204</v>
      </c>
      <c r="M76">
        <f t="shared" si="5"/>
        <v>210</v>
      </c>
    </row>
    <row r="77" spans="1:13" x14ac:dyDescent="0.15">
      <c r="A77" t="s">
        <v>275</v>
      </c>
      <c r="B77" t="s">
        <v>276</v>
      </c>
      <c r="C77">
        <v>922</v>
      </c>
      <c r="D77">
        <v>1701</v>
      </c>
      <c r="E77">
        <v>6875</v>
      </c>
      <c r="F77" t="s">
        <v>277</v>
      </c>
      <c r="G77" t="s">
        <v>278</v>
      </c>
      <c r="H77" t="s">
        <v>279</v>
      </c>
      <c r="I77" t="s">
        <v>280</v>
      </c>
      <c r="J77" t="e">
        <v>#N/A</v>
      </c>
      <c r="K77" t="e">
        <f t="shared" si="3"/>
        <v>#N/A</v>
      </c>
      <c r="L77" t="e">
        <f t="shared" si="4"/>
        <v>#N/A</v>
      </c>
      <c r="M77" t="e">
        <f t="shared" si="5"/>
        <v>#N/A</v>
      </c>
    </row>
    <row r="78" spans="1:13" x14ac:dyDescent="0.15">
      <c r="A78" t="s">
        <v>3181</v>
      </c>
      <c r="B78">
        <v>162</v>
      </c>
      <c r="C78">
        <v>896</v>
      </c>
      <c r="D78">
        <v>1107</v>
      </c>
      <c r="E78">
        <v>7162</v>
      </c>
      <c r="F78" t="s">
        <v>281</v>
      </c>
      <c r="G78">
        <v>386</v>
      </c>
      <c r="H78" t="s">
        <v>282</v>
      </c>
      <c r="I78" t="s">
        <v>283</v>
      </c>
      <c r="J78" s="470" t="s">
        <v>2063</v>
      </c>
      <c r="K78">
        <f t="shared" si="3"/>
        <v>235</v>
      </c>
      <c r="L78">
        <f t="shared" si="4"/>
        <v>202</v>
      </c>
      <c r="M78">
        <f t="shared" si="5"/>
        <v>227</v>
      </c>
    </row>
    <row r="79" spans="1:13" x14ac:dyDescent="0.15">
      <c r="A79" t="s">
        <v>3182</v>
      </c>
      <c r="B79">
        <v>1039</v>
      </c>
      <c r="C79">
        <v>895</v>
      </c>
      <c r="D79">
        <v>1106</v>
      </c>
      <c r="E79" t="s">
        <v>69</v>
      </c>
      <c r="F79" t="s">
        <v>284</v>
      </c>
      <c r="G79">
        <v>384</v>
      </c>
      <c r="H79" t="s">
        <v>285</v>
      </c>
      <c r="I79" t="s">
        <v>286</v>
      </c>
      <c r="J79" s="471" t="s">
        <v>2065</v>
      </c>
      <c r="K79">
        <f t="shared" si="3"/>
        <v>75</v>
      </c>
      <c r="L79">
        <f t="shared" si="4"/>
        <v>42</v>
      </c>
      <c r="M79">
        <f t="shared" si="5"/>
        <v>70</v>
      </c>
    </row>
    <row r="80" spans="1:13" x14ac:dyDescent="0.15">
      <c r="A80" t="s">
        <v>3183</v>
      </c>
      <c r="B80">
        <v>1038</v>
      </c>
      <c r="C80">
        <v>893</v>
      </c>
      <c r="D80">
        <v>1105</v>
      </c>
      <c r="E80" t="s">
        <v>69</v>
      </c>
      <c r="F80">
        <v>252</v>
      </c>
      <c r="G80">
        <v>3835</v>
      </c>
      <c r="H80" t="s">
        <v>287</v>
      </c>
      <c r="I80" t="s">
        <v>288</v>
      </c>
      <c r="J80" s="472" t="s">
        <v>2067</v>
      </c>
      <c r="K80">
        <f t="shared" ref="K80:K143" si="6">HEX2DEC(MID(J80,2,2))</f>
        <v>90</v>
      </c>
      <c r="L80">
        <f t="shared" ref="L80:L143" si="7">HEX2DEC(MID(J80,4,2))</f>
        <v>45</v>
      </c>
      <c r="M80">
        <f t="shared" ref="M80:M143" si="8">HEX2DEC(MID(J80,6,2))</f>
        <v>95</v>
      </c>
    </row>
    <row r="81" spans="1:13" x14ac:dyDescent="0.15">
      <c r="A81" t="s">
        <v>3184</v>
      </c>
      <c r="B81">
        <v>862</v>
      </c>
      <c r="C81">
        <v>947</v>
      </c>
      <c r="D81">
        <v>1514</v>
      </c>
      <c r="E81">
        <v>6318</v>
      </c>
      <c r="F81">
        <v>635</v>
      </c>
      <c r="G81" t="s">
        <v>289</v>
      </c>
      <c r="H81" t="s">
        <v>290</v>
      </c>
      <c r="I81" t="s">
        <v>291</v>
      </c>
      <c r="J81" s="473" t="s">
        <v>2069</v>
      </c>
      <c r="K81">
        <f t="shared" si="6"/>
        <v>104</v>
      </c>
      <c r="L81">
        <f t="shared" si="7"/>
        <v>47</v>
      </c>
      <c r="M81">
        <f t="shared" si="8"/>
        <v>115</v>
      </c>
    </row>
    <row r="82" spans="1:13" x14ac:dyDescent="0.15">
      <c r="A82" t="s">
        <v>3185</v>
      </c>
      <c r="B82">
        <v>860</v>
      </c>
      <c r="C82">
        <v>923</v>
      </c>
      <c r="D82">
        <v>1513</v>
      </c>
      <c r="E82">
        <v>6316</v>
      </c>
      <c r="F82">
        <v>924</v>
      </c>
      <c r="G82">
        <v>236</v>
      </c>
      <c r="H82" t="s">
        <v>292</v>
      </c>
      <c r="I82" t="s">
        <v>293</v>
      </c>
      <c r="J82" s="475" t="s">
        <v>2073</v>
      </c>
      <c r="K82">
        <f t="shared" si="6"/>
        <v>189</v>
      </c>
      <c r="L82">
        <f t="shared" si="7"/>
        <v>158</v>
      </c>
      <c r="M82">
        <f t="shared" si="8"/>
        <v>202</v>
      </c>
    </row>
    <row r="83" spans="1:13" x14ac:dyDescent="0.15">
      <c r="A83" t="s">
        <v>3186</v>
      </c>
      <c r="B83">
        <v>859</v>
      </c>
      <c r="C83">
        <v>944</v>
      </c>
      <c r="D83">
        <v>1512</v>
      </c>
      <c r="E83">
        <v>6316</v>
      </c>
      <c r="F83">
        <v>923</v>
      </c>
      <c r="G83">
        <v>236</v>
      </c>
      <c r="H83" t="s">
        <v>294</v>
      </c>
      <c r="I83" t="s">
        <v>295</v>
      </c>
      <c r="J83" s="476" t="s">
        <v>2075</v>
      </c>
      <c r="K83">
        <f t="shared" si="6"/>
        <v>203</v>
      </c>
      <c r="L83">
        <f t="shared" si="7"/>
        <v>178</v>
      </c>
      <c r="M83">
        <f t="shared" si="8"/>
        <v>213</v>
      </c>
    </row>
    <row r="84" spans="1:13" x14ac:dyDescent="0.15">
      <c r="A84" t="s">
        <v>3187</v>
      </c>
      <c r="B84">
        <v>858</v>
      </c>
      <c r="C84">
        <v>943</v>
      </c>
      <c r="D84">
        <v>1511</v>
      </c>
      <c r="E84">
        <v>6315</v>
      </c>
      <c r="F84">
        <v>922</v>
      </c>
      <c r="G84">
        <v>235</v>
      </c>
      <c r="H84" t="s">
        <v>296</v>
      </c>
      <c r="I84" t="s">
        <v>297</v>
      </c>
      <c r="J84" s="477" t="s">
        <v>2077</v>
      </c>
      <c r="K84">
        <f t="shared" si="6"/>
        <v>218</v>
      </c>
      <c r="L84">
        <f t="shared" si="7"/>
        <v>204</v>
      </c>
      <c r="M84">
        <f t="shared" si="8"/>
        <v>225</v>
      </c>
    </row>
    <row r="85" spans="1:13" x14ac:dyDescent="0.15">
      <c r="A85" t="s">
        <v>3188</v>
      </c>
      <c r="B85">
        <v>1041</v>
      </c>
      <c r="C85">
        <v>987</v>
      </c>
      <c r="D85">
        <v>1809</v>
      </c>
      <c r="E85">
        <v>8400</v>
      </c>
      <c r="F85" t="s">
        <v>298</v>
      </c>
      <c r="G85">
        <v>415</v>
      </c>
      <c r="H85" t="s">
        <v>299</v>
      </c>
      <c r="I85" t="s">
        <v>300</v>
      </c>
      <c r="J85" s="488" t="s">
        <v>2099</v>
      </c>
      <c r="K85">
        <f t="shared" si="6"/>
        <v>149</v>
      </c>
      <c r="L85">
        <f t="shared" si="7"/>
        <v>161</v>
      </c>
      <c r="M85">
        <f t="shared" si="8"/>
        <v>195</v>
      </c>
    </row>
    <row r="86" spans="1:13" x14ac:dyDescent="0.15">
      <c r="A86" t="s">
        <v>3189</v>
      </c>
      <c r="B86" t="s">
        <v>301</v>
      </c>
      <c r="C86">
        <v>978</v>
      </c>
      <c r="D86">
        <v>1909</v>
      </c>
      <c r="E86">
        <v>5533</v>
      </c>
      <c r="F86" t="s">
        <v>302</v>
      </c>
      <c r="G86">
        <v>740</v>
      </c>
      <c r="H86" t="s">
        <v>303</v>
      </c>
      <c r="I86" t="s">
        <v>304</v>
      </c>
      <c r="J86" s="496" t="s">
        <v>2115</v>
      </c>
      <c r="K86">
        <f t="shared" si="6"/>
        <v>147</v>
      </c>
      <c r="L86">
        <f t="shared" si="7"/>
        <v>185</v>
      </c>
      <c r="M86">
        <f t="shared" si="8"/>
        <v>220</v>
      </c>
    </row>
    <row r="87" spans="1:13" x14ac:dyDescent="0.15">
      <c r="A87" t="s">
        <v>3190</v>
      </c>
      <c r="B87" t="s">
        <v>305</v>
      </c>
      <c r="C87">
        <v>871</v>
      </c>
      <c r="D87">
        <v>714</v>
      </c>
      <c r="E87">
        <v>4107</v>
      </c>
      <c r="F87">
        <v>287</v>
      </c>
      <c r="G87">
        <v>605</v>
      </c>
      <c r="H87" t="s">
        <v>306</v>
      </c>
      <c r="I87" t="s">
        <v>307</v>
      </c>
      <c r="J87" s="503" t="s">
        <v>2129</v>
      </c>
      <c r="K87">
        <f t="shared" si="6"/>
        <v>133</v>
      </c>
      <c r="L87">
        <f t="shared" si="7"/>
        <v>176</v>
      </c>
      <c r="M87">
        <f t="shared" si="8"/>
        <v>198</v>
      </c>
    </row>
    <row r="88" spans="1:13" x14ac:dyDescent="0.15">
      <c r="A88" t="s">
        <v>3191</v>
      </c>
      <c r="B88" t="s">
        <v>308</v>
      </c>
      <c r="C88">
        <v>870</v>
      </c>
      <c r="D88">
        <v>713</v>
      </c>
      <c r="E88">
        <v>4092</v>
      </c>
      <c r="F88" t="s">
        <v>309</v>
      </c>
      <c r="G88">
        <v>603</v>
      </c>
      <c r="H88" t="s">
        <v>310</v>
      </c>
      <c r="I88" t="s">
        <v>311</v>
      </c>
      <c r="J88" s="505" t="s">
        <v>2133</v>
      </c>
      <c r="K88">
        <f t="shared" si="6"/>
        <v>185</v>
      </c>
      <c r="L88">
        <f t="shared" si="7"/>
        <v>208</v>
      </c>
      <c r="M88">
        <f t="shared" si="8"/>
        <v>220</v>
      </c>
    </row>
    <row r="89" spans="1:13" x14ac:dyDescent="0.15">
      <c r="A89" t="s">
        <v>3192</v>
      </c>
      <c r="B89" t="s">
        <v>312</v>
      </c>
      <c r="C89">
        <v>869</v>
      </c>
      <c r="D89">
        <v>712</v>
      </c>
      <c r="E89">
        <v>4097</v>
      </c>
      <c r="F89" t="s">
        <v>313</v>
      </c>
      <c r="G89">
        <v>602</v>
      </c>
      <c r="H89" t="s">
        <v>314</v>
      </c>
      <c r="I89" t="s">
        <v>315</v>
      </c>
      <c r="J89" s="506" t="s">
        <v>2135</v>
      </c>
      <c r="K89">
        <f t="shared" si="6"/>
        <v>33</v>
      </c>
      <c r="L89">
        <f t="shared" si="7"/>
        <v>66</v>
      </c>
      <c r="M89">
        <f t="shared" si="8"/>
        <v>50</v>
      </c>
    </row>
    <row r="90" spans="1:13" x14ac:dyDescent="0.15">
      <c r="A90" t="s">
        <v>3193</v>
      </c>
      <c r="B90">
        <v>97</v>
      </c>
      <c r="C90">
        <v>868</v>
      </c>
      <c r="D90">
        <v>711</v>
      </c>
      <c r="E90">
        <v>4104</v>
      </c>
      <c r="F90">
        <v>282</v>
      </c>
      <c r="G90">
        <v>601</v>
      </c>
      <c r="H90" t="s">
        <v>316</v>
      </c>
      <c r="I90" t="s">
        <v>317</v>
      </c>
      <c r="J90" s="507" t="s">
        <v>2137</v>
      </c>
      <c r="K90">
        <f t="shared" si="6"/>
        <v>36</v>
      </c>
      <c r="L90">
        <f t="shared" si="7"/>
        <v>96</v>
      </c>
      <c r="M90">
        <f t="shared" si="8"/>
        <v>74</v>
      </c>
    </row>
    <row r="91" spans="1:13" x14ac:dyDescent="0.15">
      <c r="A91" t="s">
        <v>3194</v>
      </c>
      <c r="B91">
        <v>212</v>
      </c>
      <c r="C91">
        <v>917</v>
      </c>
      <c r="D91">
        <v>1205</v>
      </c>
      <c r="E91">
        <v>6211</v>
      </c>
      <c r="F91" t="s">
        <v>318</v>
      </c>
      <c r="G91">
        <v>204</v>
      </c>
      <c r="H91" t="s">
        <v>319</v>
      </c>
      <c r="I91" t="s">
        <v>320</v>
      </c>
      <c r="J91" s="514" t="s">
        <v>2151</v>
      </c>
      <c r="K91">
        <f t="shared" si="6"/>
        <v>15</v>
      </c>
      <c r="L91">
        <f t="shared" si="7"/>
        <v>98</v>
      </c>
      <c r="M91">
        <f t="shared" si="8"/>
        <v>89</v>
      </c>
    </row>
    <row r="92" spans="1:13" x14ac:dyDescent="0.15">
      <c r="A92" t="s">
        <v>3195</v>
      </c>
      <c r="B92" t="s">
        <v>321</v>
      </c>
      <c r="C92">
        <v>916</v>
      </c>
      <c r="D92">
        <v>1206</v>
      </c>
      <c r="E92">
        <v>6213</v>
      </c>
      <c r="F92">
        <v>844</v>
      </c>
      <c r="G92">
        <v>255</v>
      </c>
      <c r="H92" t="s">
        <v>322</v>
      </c>
      <c r="I92" t="s">
        <v>323</v>
      </c>
      <c r="J92" s="515" t="s">
        <v>2153</v>
      </c>
      <c r="K92">
        <f t="shared" si="6"/>
        <v>0</v>
      </c>
      <c r="L92">
        <f t="shared" si="7"/>
        <v>119</v>
      </c>
      <c r="M92">
        <f t="shared" si="8"/>
        <v>112</v>
      </c>
    </row>
    <row r="93" spans="1:13" x14ac:dyDescent="0.15">
      <c r="A93" t="s">
        <v>3196</v>
      </c>
      <c r="B93">
        <v>208</v>
      </c>
      <c r="C93">
        <v>915</v>
      </c>
      <c r="D93">
        <v>1207</v>
      </c>
      <c r="E93">
        <v>6210</v>
      </c>
      <c r="F93">
        <v>843</v>
      </c>
      <c r="G93">
        <v>253</v>
      </c>
      <c r="H93" t="s">
        <v>324</v>
      </c>
      <c r="I93" t="s">
        <v>325</v>
      </c>
      <c r="J93" s="516" t="s">
        <v>2155</v>
      </c>
      <c r="K93">
        <f t="shared" si="6"/>
        <v>114</v>
      </c>
      <c r="L93">
        <f t="shared" si="7"/>
        <v>184</v>
      </c>
      <c r="M93">
        <f t="shared" si="8"/>
        <v>180</v>
      </c>
    </row>
    <row r="94" spans="1:13" x14ac:dyDescent="0.15">
      <c r="A94" t="s">
        <v>3197</v>
      </c>
      <c r="B94">
        <v>206</v>
      </c>
      <c r="C94">
        <v>912</v>
      </c>
      <c r="D94">
        <v>1208</v>
      </c>
      <c r="E94">
        <v>6209</v>
      </c>
      <c r="F94">
        <v>842</v>
      </c>
      <c r="G94">
        <v>252</v>
      </c>
      <c r="H94" t="s">
        <v>326</v>
      </c>
      <c r="I94" t="s">
        <v>327</v>
      </c>
      <c r="J94" s="517" t="s">
        <v>2157</v>
      </c>
      <c r="K94">
        <f t="shared" si="6"/>
        <v>152</v>
      </c>
      <c r="L94">
        <f t="shared" si="7"/>
        <v>204</v>
      </c>
      <c r="M94">
        <f t="shared" si="8"/>
        <v>201</v>
      </c>
    </row>
    <row r="95" spans="1:13" x14ac:dyDescent="0.15">
      <c r="A95" t="s">
        <v>3198</v>
      </c>
      <c r="B95">
        <v>281</v>
      </c>
      <c r="C95">
        <v>951</v>
      </c>
      <c r="D95">
        <v>1608</v>
      </c>
      <c r="E95">
        <v>6267</v>
      </c>
      <c r="F95">
        <v>634</v>
      </c>
      <c r="G95">
        <v>216</v>
      </c>
      <c r="H95" t="s">
        <v>328</v>
      </c>
      <c r="I95" t="s">
        <v>329</v>
      </c>
      <c r="J95" s="532" t="s">
        <v>2187</v>
      </c>
      <c r="K95">
        <f t="shared" si="6"/>
        <v>207</v>
      </c>
      <c r="L95">
        <f t="shared" si="7"/>
        <v>221</v>
      </c>
      <c r="M95">
        <f t="shared" si="8"/>
        <v>187</v>
      </c>
    </row>
    <row r="96" spans="1:13" x14ac:dyDescent="0.15">
      <c r="A96" t="s">
        <v>3199</v>
      </c>
      <c r="B96">
        <v>280</v>
      </c>
      <c r="C96">
        <v>950</v>
      </c>
      <c r="D96">
        <v>1609</v>
      </c>
      <c r="E96">
        <v>6256</v>
      </c>
      <c r="F96">
        <v>2631</v>
      </c>
      <c r="G96">
        <v>2011</v>
      </c>
      <c r="H96" t="s">
        <v>330</v>
      </c>
      <c r="I96" t="s">
        <v>331</v>
      </c>
      <c r="J96" s="533" t="s">
        <v>2189</v>
      </c>
      <c r="K96">
        <f t="shared" si="6"/>
        <v>96</v>
      </c>
      <c r="L96">
        <f t="shared" si="7"/>
        <v>90</v>
      </c>
      <c r="M96">
        <f t="shared" si="8"/>
        <v>18</v>
      </c>
    </row>
    <row r="97" spans="1:13" x14ac:dyDescent="0.15">
      <c r="A97" t="s">
        <v>3200</v>
      </c>
      <c r="B97">
        <v>1064</v>
      </c>
      <c r="C97">
        <v>905</v>
      </c>
      <c r="D97">
        <v>1110</v>
      </c>
      <c r="E97">
        <v>7168</v>
      </c>
      <c r="F97" t="s">
        <v>332</v>
      </c>
      <c r="G97">
        <v>2042</v>
      </c>
      <c r="H97" t="s">
        <v>333</v>
      </c>
      <c r="I97" t="s">
        <v>334</v>
      </c>
      <c r="J97" t="e">
        <v>#N/A</v>
      </c>
      <c r="K97" t="e">
        <f t="shared" si="6"/>
        <v>#N/A</v>
      </c>
      <c r="L97" t="e">
        <f t="shared" si="7"/>
        <v>#N/A</v>
      </c>
      <c r="M97" t="e">
        <f t="shared" si="8"/>
        <v>#N/A</v>
      </c>
    </row>
    <row r="98" spans="1:13" x14ac:dyDescent="0.15">
      <c r="A98" t="s">
        <v>3201</v>
      </c>
      <c r="B98" t="s">
        <v>335</v>
      </c>
      <c r="C98">
        <v>902</v>
      </c>
      <c r="D98">
        <v>1111</v>
      </c>
      <c r="E98">
        <v>7167</v>
      </c>
      <c r="F98" t="s">
        <v>336</v>
      </c>
      <c r="G98">
        <v>2041</v>
      </c>
      <c r="H98" t="s">
        <v>337</v>
      </c>
      <c r="I98" t="s">
        <v>338</v>
      </c>
      <c r="J98" t="e">
        <v>#N/A</v>
      </c>
      <c r="K98" t="e">
        <f t="shared" si="6"/>
        <v>#N/A</v>
      </c>
      <c r="L98" t="e">
        <f t="shared" si="7"/>
        <v>#N/A</v>
      </c>
      <c r="M98" t="e">
        <f t="shared" si="8"/>
        <v>#N/A</v>
      </c>
    </row>
    <row r="99" spans="1:13" x14ac:dyDescent="0.15">
      <c r="A99" t="s">
        <v>3202</v>
      </c>
      <c r="B99">
        <v>78</v>
      </c>
      <c r="C99">
        <v>856</v>
      </c>
      <c r="D99">
        <v>704</v>
      </c>
      <c r="E99">
        <v>3056</v>
      </c>
      <c r="F99" t="s">
        <v>339</v>
      </c>
      <c r="G99" t="s">
        <v>340</v>
      </c>
      <c r="H99" t="s">
        <v>341</v>
      </c>
      <c r="I99" t="s">
        <v>342</v>
      </c>
      <c r="J99" s="540" t="s">
        <v>2203</v>
      </c>
      <c r="K99">
        <f t="shared" si="6"/>
        <v>238</v>
      </c>
      <c r="L99">
        <f t="shared" si="7"/>
        <v>235</v>
      </c>
      <c r="M99">
        <f t="shared" si="8"/>
        <v>182</v>
      </c>
    </row>
    <row r="100" spans="1:13" x14ac:dyDescent="0.15">
      <c r="A100" t="s">
        <v>3203</v>
      </c>
      <c r="B100" t="s">
        <v>343</v>
      </c>
      <c r="C100">
        <v>852</v>
      </c>
      <c r="D100">
        <v>703</v>
      </c>
      <c r="E100">
        <v>3128</v>
      </c>
      <c r="F100" t="s">
        <v>344</v>
      </c>
      <c r="G100" t="s">
        <v>345</v>
      </c>
      <c r="H100" t="s">
        <v>346</v>
      </c>
      <c r="I100" t="s">
        <v>347</v>
      </c>
      <c r="J100" s="541" t="s">
        <v>2205</v>
      </c>
      <c r="K100">
        <f t="shared" si="6"/>
        <v>238</v>
      </c>
      <c r="L100">
        <f t="shared" si="7"/>
        <v>234</v>
      </c>
      <c r="M100">
        <f t="shared" si="8"/>
        <v>165</v>
      </c>
    </row>
    <row r="101" spans="1:13" x14ac:dyDescent="0.15">
      <c r="A101" t="s">
        <v>3204</v>
      </c>
      <c r="B101">
        <v>63</v>
      </c>
      <c r="C101">
        <v>847</v>
      </c>
      <c r="D101">
        <v>702</v>
      </c>
      <c r="E101">
        <v>3063</v>
      </c>
      <c r="F101">
        <v>504</v>
      </c>
      <c r="G101">
        <v>127</v>
      </c>
      <c r="H101" t="s">
        <v>348</v>
      </c>
      <c r="I101" t="s">
        <v>349</v>
      </c>
      <c r="J101" s="542" t="s">
        <v>2207</v>
      </c>
      <c r="K101">
        <f t="shared" si="6"/>
        <v>238</v>
      </c>
      <c r="L101">
        <f t="shared" si="7"/>
        <v>232</v>
      </c>
      <c r="M101">
        <f t="shared" si="8"/>
        <v>141</v>
      </c>
    </row>
    <row r="102" spans="1:13" x14ac:dyDescent="0.15">
      <c r="A102" t="s">
        <v>3205</v>
      </c>
      <c r="B102" t="s">
        <v>350</v>
      </c>
      <c r="C102">
        <v>851</v>
      </c>
      <c r="D102">
        <v>701</v>
      </c>
      <c r="E102">
        <v>3001</v>
      </c>
      <c r="F102" t="s">
        <v>351</v>
      </c>
      <c r="G102">
        <v>126</v>
      </c>
      <c r="H102" t="s">
        <v>352</v>
      </c>
      <c r="I102" t="s">
        <v>353</v>
      </c>
      <c r="J102" s="543" t="s">
        <v>2209</v>
      </c>
      <c r="K102">
        <f t="shared" si="6"/>
        <v>237</v>
      </c>
      <c r="L102">
        <f t="shared" si="7"/>
        <v>226</v>
      </c>
      <c r="M102">
        <f t="shared" si="8"/>
        <v>94</v>
      </c>
    </row>
    <row r="103" spans="1:13" x14ac:dyDescent="0.15">
      <c r="A103" t="s">
        <v>3206</v>
      </c>
      <c r="B103">
        <v>55</v>
      </c>
      <c r="C103">
        <v>850</v>
      </c>
      <c r="D103">
        <v>614</v>
      </c>
      <c r="E103">
        <v>3001</v>
      </c>
      <c r="F103">
        <v>502</v>
      </c>
      <c r="G103">
        <v>125</v>
      </c>
      <c r="H103" t="s">
        <v>354</v>
      </c>
      <c r="I103" t="s">
        <v>355</v>
      </c>
      <c r="J103" s="544" t="s">
        <v>2211</v>
      </c>
      <c r="K103">
        <f t="shared" si="6"/>
        <v>234</v>
      </c>
      <c r="L103">
        <f t="shared" si="7"/>
        <v>219</v>
      </c>
      <c r="M103">
        <f t="shared" si="8"/>
        <v>27</v>
      </c>
    </row>
    <row r="104" spans="1:13" x14ac:dyDescent="0.15">
      <c r="A104" t="s">
        <v>3207</v>
      </c>
      <c r="B104" t="s">
        <v>356</v>
      </c>
      <c r="C104">
        <v>850</v>
      </c>
      <c r="D104">
        <v>613</v>
      </c>
      <c r="E104">
        <v>3151</v>
      </c>
      <c r="F104">
        <v>501</v>
      </c>
      <c r="G104" t="s">
        <v>357</v>
      </c>
      <c r="J104" s="545" t="s">
        <v>2213</v>
      </c>
      <c r="K104">
        <f t="shared" si="6"/>
        <v>224</v>
      </c>
      <c r="L104">
        <f t="shared" si="7"/>
        <v>202</v>
      </c>
      <c r="M104">
        <f t="shared" si="8"/>
        <v>0</v>
      </c>
    </row>
    <row r="105" spans="1:13" x14ac:dyDescent="0.15">
      <c r="A105" t="s">
        <v>358</v>
      </c>
      <c r="B105" t="s">
        <v>359</v>
      </c>
      <c r="C105" t="s">
        <v>360</v>
      </c>
      <c r="J105" t="e">
        <v>#N/A</v>
      </c>
      <c r="K105" t="e">
        <f t="shared" si="6"/>
        <v>#N/A</v>
      </c>
      <c r="L105" t="e">
        <f t="shared" si="7"/>
        <v>#N/A</v>
      </c>
      <c r="M105" t="e">
        <f t="shared" si="8"/>
        <v>#N/A</v>
      </c>
    </row>
    <row r="106" spans="1:13" x14ac:dyDescent="0.15">
      <c r="A106" t="s">
        <v>3208</v>
      </c>
      <c r="B106" t="s">
        <v>361</v>
      </c>
      <c r="C106">
        <v>829</v>
      </c>
      <c r="D106">
        <v>209</v>
      </c>
      <c r="E106">
        <v>2334</v>
      </c>
      <c r="F106" t="s">
        <v>362</v>
      </c>
      <c r="G106">
        <v>1052</v>
      </c>
      <c r="H106" t="s">
        <v>363</v>
      </c>
      <c r="I106" t="s">
        <v>364</v>
      </c>
      <c r="J106" s="546" t="s">
        <v>2215</v>
      </c>
      <c r="K106">
        <f t="shared" si="6"/>
        <v>216</v>
      </c>
      <c r="L106">
        <f t="shared" si="7"/>
        <v>189</v>
      </c>
      <c r="M106">
        <f t="shared" si="8"/>
        <v>0</v>
      </c>
    </row>
    <row r="107" spans="1:13" x14ac:dyDescent="0.15">
      <c r="A107" t="s">
        <v>3209</v>
      </c>
      <c r="B107">
        <v>332</v>
      </c>
      <c r="C107">
        <v>822</v>
      </c>
      <c r="D107">
        <v>206</v>
      </c>
      <c r="E107">
        <v>2332</v>
      </c>
      <c r="F107">
        <v>757</v>
      </c>
      <c r="G107">
        <v>1051</v>
      </c>
      <c r="H107" t="s">
        <v>365</v>
      </c>
      <c r="I107" t="s">
        <v>366</v>
      </c>
      <c r="J107" s="548" t="s">
        <v>2219</v>
      </c>
      <c r="K107">
        <f t="shared" si="6"/>
        <v>233</v>
      </c>
      <c r="L107">
        <f t="shared" si="7"/>
        <v>230</v>
      </c>
      <c r="M107">
        <f t="shared" si="8"/>
        <v>180</v>
      </c>
    </row>
    <row r="108" spans="1:13" x14ac:dyDescent="0.15">
      <c r="A108" t="s">
        <v>3210</v>
      </c>
      <c r="B108">
        <v>889</v>
      </c>
      <c r="C108">
        <v>984</v>
      </c>
      <c r="D108">
        <v>2106</v>
      </c>
      <c r="E108">
        <v>5889</v>
      </c>
      <c r="F108" t="s">
        <v>367</v>
      </c>
      <c r="G108">
        <v>845</v>
      </c>
      <c r="H108" t="s">
        <v>368</v>
      </c>
      <c r="I108" t="s">
        <v>369</v>
      </c>
      <c r="J108" s="550" t="s">
        <v>2223</v>
      </c>
      <c r="K108">
        <f t="shared" si="6"/>
        <v>226</v>
      </c>
      <c r="L108">
        <f t="shared" si="7"/>
        <v>217</v>
      </c>
      <c r="M108">
        <f t="shared" si="8"/>
        <v>115</v>
      </c>
    </row>
    <row r="109" spans="1:13" x14ac:dyDescent="0.15">
      <c r="A109" t="s">
        <v>3211</v>
      </c>
      <c r="B109">
        <v>898</v>
      </c>
      <c r="C109">
        <v>983</v>
      </c>
      <c r="D109">
        <v>2107</v>
      </c>
      <c r="E109">
        <v>5898</v>
      </c>
      <c r="F109" t="s">
        <v>370</v>
      </c>
      <c r="G109">
        <v>844</v>
      </c>
      <c r="H109" t="s">
        <v>371</v>
      </c>
      <c r="I109" t="s">
        <v>372</v>
      </c>
      <c r="J109" s="551" t="s">
        <v>2225</v>
      </c>
      <c r="K109">
        <f t="shared" si="6"/>
        <v>216</v>
      </c>
      <c r="L109">
        <f t="shared" si="7"/>
        <v>204</v>
      </c>
      <c r="M109">
        <f t="shared" si="8"/>
        <v>70</v>
      </c>
    </row>
    <row r="110" spans="1:13" x14ac:dyDescent="0.15">
      <c r="A110" t="s">
        <v>3212</v>
      </c>
      <c r="B110">
        <v>832</v>
      </c>
      <c r="C110">
        <v>982</v>
      </c>
      <c r="D110">
        <v>2108</v>
      </c>
      <c r="E110">
        <v>5374</v>
      </c>
      <c r="F110">
        <v>367</v>
      </c>
      <c r="G110">
        <v>843</v>
      </c>
      <c r="H110" t="s">
        <v>373</v>
      </c>
      <c r="I110" t="s">
        <v>374</v>
      </c>
      <c r="J110" s="552" t="s">
        <v>2227</v>
      </c>
      <c r="K110">
        <f t="shared" si="6"/>
        <v>196</v>
      </c>
      <c r="L110">
        <f t="shared" si="7"/>
        <v>179</v>
      </c>
      <c r="M110">
        <f t="shared" si="8"/>
        <v>0</v>
      </c>
    </row>
    <row r="111" spans="1:13" x14ac:dyDescent="0.15">
      <c r="A111" t="s">
        <v>3213</v>
      </c>
      <c r="B111" t="s">
        <v>375</v>
      </c>
      <c r="C111">
        <v>982</v>
      </c>
      <c r="D111">
        <v>2109</v>
      </c>
      <c r="E111">
        <v>5388</v>
      </c>
      <c r="F111">
        <v>366</v>
      </c>
      <c r="G111">
        <v>841</v>
      </c>
      <c r="H111" t="s">
        <v>376</v>
      </c>
      <c r="I111" t="s">
        <v>377</v>
      </c>
      <c r="J111" s="553" t="s">
        <v>2229</v>
      </c>
      <c r="K111">
        <f t="shared" si="6"/>
        <v>179</v>
      </c>
      <c r="L111">
        <f t="shared" si="7"/>
        <v>157</v>
      </c>
      <c r="M111">
        <f t="shared" si="8"/>
        <v>0</v>
      </c>
    </row>
    <row r="112" spans="1:13" x14ac:dyDescent="0.15">
      <c r="A112" t="s">
        <v>3214</v>
      </c>
      <c r="B112">
        <v>936</v>
      </c>
      <c r="C112">
        <v>964</v>
      </c>
      <c r="D112">
        <v>2311</v>
      </c>
      <c r="E112">
        <v>5936</v>
      </c>
      <c r="F112">
        <v>427</v>
      </c>
      <c r="G112">
        <v>745</v>
      </c>
      <c r="H112" t="s">
        <v>378</v>
      </c>
      <c r="I112" t="s">
        <v>379</v>
      </c>
      <c r="J112" s="572" t="s">
        <v>2267</v>
      </c>
      <c r="K112">
        <f t="shared" si="6"/>
        <v>0</v>
      </c>
      <c r="L112">
        <f t="shared" si="7"/>
        <v>158</v>
      </c>
      <c r="M112">
        <f t="shared" si="8"/>
        <v>192</v>
      </c>
    </row>
    <row r="113" spans="1:13" x14ac:dyDescent="0.15">
      <c r="A113" t="s">
        <v>3215</v>
      </c>
      <c r="B113">
        <v>903</v>
      </c>
      <c r="C113">
        <v>984</v>
      </c>
      <c r="D113">
        <v>1905</v>
      </c>
      <c r="E113">
        <v>5393</v>
      </c>
      <c r="F113">
        <v>716</v>
      </c>
      <c r="G113">
        <v>815</v>
      </c>
      <c r="H113" t="s">
        <v>380</v>
      </c>
      <c r="I113" t="s">
        <v>381</v>
      </c>
      <c r="J113" s="580" t="s">
        <v>2283</v>
      </c>
      <c r="K113">
        <f t="shared" si="6"/>
        <v>0</v>
      </c>
      <c r="L113">
        <f t="shared" si="7"/>
        <v>133</v>
      </c>
      <c r="M113">
        <f t="shared" si="8"/>
        <v>194</v>
      </c>
    </row>
    <row r="114" spans="1:13" x14ac:dyDescent="0.15">
      <c r="A114" t="s">
        <v>3216</v>
      </c>
      <c r="B114">
        <v>392</v>
      </c>
      <c r="C114">
        <v>983</v>
      </c>
      <c r="D114">
        <v>1906</v>
      </c>
      <c r="E114">
        <v>5832</v>
      </c>
      <c r="F114" t="s">
        <v>382</v>
      </c>
      <c r="G114">
        <v>814</v>
      </c>
      <c r="H114" t="s">
        <v>383</v>
      </c>
      <c r="I114" t="s">
        <v>384</v>
      </c>
      <c r="J114" s="581" t="s">
        <v>2286</v>
      </c>
      <c r="K114">
        <f t="shared" si="6"/>
        <v>206</v>
      </c>
      <c r="L114">
        <f t="shared" si="7"/>
        <v>217</v>
      </c>
      <c r="M114">
        <f t="shared" si="8"/>
        <v>231</v>
      </c>
    </row>
    <row r="115" spans="1:13" x14ac:dyDescent="0.15">
      <c r="A115" t="s">
        <v>3217</v>
      </c>
      <c r="B115">
        <v>830</v>
      </c>
      <c r="C115">
        <v>981</v>
      </c>
      <c r="D115">
        <v>1907</v>
      </c>
      <c r="E115">
        <v>5831</v>
      </c>
      <c r="F115">
        <v>366</v>
      </c>
      <c r="G115">
        <v>811</v>
      </c>
      <c r="H115" t="s">
        <v>385</v>
      </c>
      <c r="I115" t="s">
        <v>386</v>
      </c>
      <c r="J115" s="583" t="s">
        <v>2290</v>
      </c>
      <c r="K115">
        <f t="shared" si="6"/>
        <v>151</v>
      </c>
      <c r="L115">
        <f t="shared" si="7"/>
        <v>177</v>
      </c>
      <c r="M115">
        <f t="shared" si="8"/>
        <v>208</v>
      </c>
    </row>
    <row r="116" spans="1:13" x14ac:dyDescent="0.15">
      <c r="A116" t="s">
        <v>3218</v>
      </c>
      <c r="B116">
        <v>273</v>
      </c>
      <c r="C116">
        <v>987</v>
      </c>
      <c r="D116">
        <v>1811</v>
      </c>
      <c r="E116">
        <v>8500</v>
      </c>
      <c r="F116" t="s">
        <v>387</v>
      </c>
      <c r="G116">
        <v>414</v>
      </c>
      <c r="H116" t="s">
        <v>388</v>
      </c>
      <c r="I116" t="s">
        <v>389</v>
      </c>
      <c r="J116" s="584" t="s">
        <v>2292</v>
      </c>
      <c r="K116">
        <f t="shared" si="6"/>
        <v>116</v>
      </c>
      <c r="L116">
        <f t="shared" si="7"/>
        <v>152</v>
      </c>
      <c r="M116">
        <f t="shared" si="8"/>
        <v>192</v>
      </c>
    </row>
    <row r="117" spans="1:13" x14ac:dyDescent="0.15">
      <c r="A117" t="s">
        <v>3219</v>
      </c>
      <c r="B117">
        <v>8581</v>
      </c>
      <c r="C117">
        <v>987</v>
      </c>
      <c r="D117">
        <v>1812</v>
      </c>
      <c r="E117">
        <v>8500</v>
      </c>
      <c r="F117" t="s">
        <v>390</v>
      </c>
      <c r="G117">
        <v>414</v>
      </c>
      <c r="H117" t="s">
        <v>391</v>
      </c>
      <c r="I117" t="s">
        <v>392</v>
      </c>
      <c r="J117" s="585" t="s">
        <v>2294</v>
      </c>
      <c r="K117">
        <f t="shared" si="6"/>
        <v>87</v>
      </c>
      <c r="L117">
        <f t="shared" si="7"/>
        <v>129</v>
      </c>
      <c r="M117">
        <f t="shared" si="8"/>
        <v>174</v>
      </c>
    </row>
    <row r="118" spans="1:13" x14ac:dyDescent="0.15">
      <c r="A118" t="s">
        <v>3220</v>
      </c>
      <c r="B118">
        <v>1040</v>
      </c>
      <c r="C118">
        <v>986</v>
      </c>
      <c r="D118">
        <v>1813</v>
      </c>
      <c r="E118">
        <v>8900</v>
      </c>
      <c r="F118" t="s">
        <v>393</v>
      </c>
      <c r="G118">
        <v>412</v>
      </c>
      <c r="H118" t="s">
        <v>394</v>
      </c>
      <c r="I118" t="s">
        <v>395</v>
      </c>
      <c r="J118" s="586" t="s">
        <v>2296</v>
      </c>
      <c r="K118">
        <f t="shared" si="6"/>
        <v>17</v>
      </c>
      <c r="L118">
        <f t="shared" si="7"/>
        <v>86</v>
      </c>
      <c r="M118">
        <f t="shared" si="8"/>
        <v>140</v>
      </c>
    </row>
    <row r="119" spans="1:13" x14ac:dyDescent="0.15">
      <c r="A119" t="s">
        <v>3221</v>
      </c>
      <c r="B119">
        <v>900</v>
      </c>
      <c r="C119">
        <v>986</v>
      </c>
      <c r="D119">
        <v>1814</v>
      </c>
      <c r="E119">
        <v>8390</v>
      </c>
      <c r="F119" t="s">
        <v>396</v>
      </c>
      <c r="G119">
        <v>411</v>
      </c>
      <c r="H119" t="s">
        <v>397</v>
      </c>
      <c r="I119" t="s">
        <v>398</v>
      </c>
      <c r="J119" s="587" t="s">
        <v>2298</v>
      </c>
      <c r="K119">
        <f t="shared" si="6"/>
        <v>0</v>
      </c>
      <c r="L119">
        <f t="shared" si="7"/>
        <v>43</v>
      </c>
      <c r="M119">
        <f t="shared" si="8"/>
        <v>95</v>
      </c>
    </row>
    <row r="120" spans="1:13" x14ac:dyDescent="0.15">
      <c r="A120" t="s">
        <v>3222</v>
      </c>
      <c r="B120">
        <v>46</v>
      </c>
      <c r="C120">
        <v>835</v>
      </c>
      <c r="D120">
        <v>210</v>
      </c>
      <c r="E120">
        <v>3046</v>
      </c>
      <c r="F120">
        <v>800</v>
      </c>
      <c r="G120">
        <v>701</v>
      </c>
      <c r="H120" t="s">
        <v>399</v>
      </c>
      <c r="I120" t="s">
        <v>400</v>
      </c>
      <c r="J120" s="605" t="s">
        <v>2334</v>
      </c>
      <c r="K120">
        <f t="shared" si="6"/>
        <v>163</v>
      </c>
      <c r="L120">
        <f t="shared" si="7"/>
        <v>146</v>
      </c>
      <c r="M120">
        <f t="shared" si="8"/>
        <v>183</v>
      </c>
    </row>
    <row r="121" spans="1:13" x14ac:dyDescent="0.15">
      <c r="A121" t="s">
        <v>3223</v>
      </c>
      <c r="B121">
        <v>891</v>
      </c>
      <c r="C121">
        <v>811</v>
      </c>
      <c r="D121">
        <v>2208</v>
      </c>
      <c r="E121">
        <v>2874</v>
      </c>
      <c r="F121" t="s">
        <v>401</v>
      </c>
      <c r="G121">
        <v>561</v>
      </c>
      <c r="H121" t="s">
        <v>402</v>
      </c>
      <c r="I121" t="s">
        <v>403</v>
      </c>
      <c r="J121" s="615" t="s">
        <v>2354</v>
      </c>
      <c r="K121">
        <f t="shared" si="6"/>
        <v>163</v>
      </c>
      <c r="L121">
        <f t="shared" si="7"/>
        <v>0</v>
      </c>
      <c r="M121">
        <f t="shared" si="8"/>
        <v>89</v>
      </c>
    </row>
    <row r="122" spans="1:13" x14ac:dyDescent="0.15">
      <c r="A122" t="s">
        <v>3224</v>
      </c>
      <c r="B122">
        <v>886</v>
      </c>
      <c r="C122">
        <v>954</v>
      </c>
      <c r="D122">
        <v>2207</v>
      </c>
      <c r="E122">
        <v>2300</v>
      </c>
      <c r="F122">
        <v>572</v>
      </c>
      <c r="G122">
        <v>561</v>
      </c>
      <c r="H122" t="s">
        <v>404</v>
      </c>
      <c r="I122" t="s">
        <v>405</v>
      </c>
      <c r="J122" s="616" t="s">
        <v>2356</v>
      </c>
      <c r="K122">
        <f t="shared" si="6"/>
        <v>229</v>
      </c>
      <c r="L122">
        <f t="shared" si="7"/>
        <v>209</v>
      </c>
      <c r="M122">
        <f t="shared" si="8"/>
        <v>223</v>
      </c>
    </row>
    <row r="123" spans="1:13" x14ac:dyDescent="0.15">
      <c r="A123" t="s">
        <v>3225</v>
      </c>
      <c r="B123">
        <v>901</v>
      </c>
      <c r="C123">
        <v>813</v>
      </c>
      <c r="D123">
        <v>2210</v>
      </c>
      <c r="E123">
        <v>2876</v>
      </c>
      <c r="F123" t="s">
        <v>406</v>
      </c>
      <c r="G123">
        <v>563</v>
      </c>
      <c r="H123" t="s">
        <v>407</v>
      </c>
      <c r="I123" t="s">
        <v>408</v>
      </c>
      <c r="J123" s="619" t="s">
        <v>2362</v>
      </c>
      <c r="K123">
        <f t="shared" si="6"/>
        <v>203</v>
      </c>
      <c r="L123">
        <f t="shared" si="7"/>
        <v>151</v>
      </c>
      <c r="M123">
        <f t="shared" si="8"/>
        <v>183</v>
      </c>
    </row>
    <row r="124" spans="1:13" x14ac:dyDescent="0.15">
      <c r="A124" t="s">
        <v>3226</v>
      </c>
      <c r="B124">
        <v>923</v>
      </c>
      <c r="C124">
        <v>914</v>
      </c>
      <c r="D124">
        <v>1303</v>
      </c>
      <c r="E124">
        <v>6228</v>
      </c>
      <c r="F124">
        <v>276</v>
      </c>
      <c r="G124" t="s">
        <v>409</v>
      </c>
      <c r="H124" t="s">
        <v>410</v>
      </c>
      <c r="I124" t="s">
        <v>411</v>
      </c>
      <c r="J124" s="638" t="s">
        <v>2400</v>
      </c>
      <c r="K124">
        <f t="shared" si="6"/>
        <v>240</v>
      </c>
      <c r="L124">
        <f t="shared" si="7"/>
        <v>194</v>
      </c>
      <c r="M124">
        <f t="shared" si="8"/>
        <v>205</v>
      </c>
    </row>
    <row r="125" spans="1:13" x14ac:dyDescent="0.15">
      <c r="A125" t="s">
        <v>3227</v>
      </c>
      <c r="B125" t="s">
        <v>412</v>
      </c>
      <c r="C125">
        <v>914</v>
      </c>
      <c r="D125">
        <v>1304</v>
      </c>
      <c r="E125">
        <v>6227</v>
      </c>
      <c r="F125">
        <v>275</v>
      </c>
      <c r="G125">
        <v>233</v>
      </c>
      <c r="H125" t="s">
        <v>413</v>
      </c>
      <c r="I125" t="s">
        <v>414</v>
      </c>
      <c r="J125" s="639" t="s">
        <v>2402</v>
      </c>
      <c r="K125">
        <f t="shared" si="6"/>
        <v>236</v>
      </c>
      <c r="L125">
        <f t="shared" si="7"/>
        <v>169</v>
      </c>
      <c r="M125">
        <f t="shared" si="8"/>
        <v>185</v>
      </c>
    </row>
    <row r="126" spans="1:13" x14ac:dyDescent="0.15">
      <c r="A126" t="s">
        <v>3228</v>
      </c>
      <c r="B126">
        <v>227</v>
      </c>
      <c r="C126">
        <v>929</v>
      </c>
      <c r="D126">
        <v>1305</v>
      </c>
      <c r="E126">
        <v>6226</v>
      </c>
      <c r="F126">
        <v>274</v>
      </c>
      <c r="G126">
        <v>232</v>
      </c>
      <c r="H126" t="s">
        <v>415</v>
      </c>
      <c r="I126" t="s">
        <v>416</v>
      </c>
      <c r="J126" s="640" t="s">
        <v>2404</v>
      </c>
      <c r="K126">
        <f t="shared" si="6"/>
        <v>229</v>
      </c>
      <c r="L126">
        <f t="shared" si="7"/>
        <v>141</v>
      </c>
      <c r="M126">
        <f t="shared" si="8"/>
        <v>162</v>
      </c>
    </row>
    <row r="127" spans="1:13" x14ac:dyDescent="0.15">
      <c r="A127" t="s">
        <v>3229</v>
      </c>
      <c r="B127" t="s">
        <v>417</v>
      </c>
      <c r="C127">
        <v>929</v>
      </c>
      <c r="D127">
        <v>1306</v>
      </c>
      <c r="E127">
        <v>6239</v>
      </c>
      <c r="F127">
        <v>273</v>
      </c>
      <c r="G127">
        <v>231</v>
      </c>
      <c r="H127" t="s">
        <v>418</v>
      </c>
      <c r="I127" t="s">
        <v>419</v>
      </c>
      <c r="J127" s="641" t="s">
        <v>2406</v>
      </c>
      <c r="K127">
        <f t="shared" si="6"/>
        <v>213</v>
      </c>
      <c r="L127">
        <f t="shared" si="7"/>
        <v>100</v>
      </c>
      <c r="M127">
        <f t="shared" si="8"/>
        <v>124</v>
      </c>
    </row>
    <row r="128" spans="1:13" x14ac:dyDescent="0.15">
      <c r="A128" t="s">
        <v>3230</v>
      </c>
      <c r="B128">
        <v>238</v>
      </c>
      <c r="C128">
        <v>938</v>
      </c>
      <c r="D128">
        <v>1307</v>
      </c>
      <c r="E128">
        <v>6238</v>
      </c>
      <c r="F128">
        <v>272</v>
      </c>
      <c r="G128">
        <v>229</v>
      </c>
      <c r="H128" t="s">
        <v>420</v>
      </c>
      <c r="I128" t="s">
        <v>421</v>
      </c>
      <c r="J128" s="642" t="s">
        <v>2408</v>
      </c>
      <c r="K128">
        <f t="shared" si="6"/>
        <v>186</v>
      </c>
      <c r="L128">
        <f t="shared" si="7"/>
        <v>57</v>
      </c>
      <c r="M128">
        <f t="shared" si="8"/>
        <v>78</v>
      </c>
    </row>
    <row r="129" spans="1:13" x14ac:dyDescent="0.15">
      <c r="A129" t="s">
        <v>3231</v>
      </c>
      <c r="B129">
        <v>256</v>
      </c>
      <c r="C129">
        <v>932</v>
      </c>
      <c r="D129">
        <v>1308</v>
      </c>
      <c r="E129">
        <v>6238</v>
      </c>
      <c r="F129" t="s">
        <v>422</v>
      </c>
      <c r="G129">
        <v>274</v>
      </c>
      <c r="H129" t="s">
        <v>423</v>
      </c>
      <c r="I129" t="s">
        <v>424</v>
      </c>
      <c r="J129" s="643" t="s">
        <v>2410</v>
      </c>
      <c r="K129">
        <f t="shared" si="6"/>
        <v>162</v>
      </c>
      <c r="L129">
        <f t="shared" si="7"/>
        <v>38</v>
      </c>
      <c r="M129">
        <f t="shared" si="8"/>
        <v>48</v>
      </c>
    </row>
    <row r="130" spans="1:13" x14ac:dyDescent="0.15">
      <c r="A130" t="s">
        <v>3232</v>
      </c>
      <c r="B130">
        <v>926</v>
      </c>
      <c r="C130">
        <v>805</v>
      </c>
      <c r="D130">
        <v>2101</v>
      </c>
      <c r="E130">
        <v>5387</v>
      </c>
      <c r="F130" t="s">
        <v>425</v>
      </c>
      <c r="G130">
        <v>731</v>
      </c>
      <c r="H130" t="s">
        <v>426</v>
      </c>
      <c r="I130" t="s">
        <v>427</v>
      </c>
      <c r="J130" s="651" t="s">
        <v>2426</v>
      </c>
      <c r="K130">
        <f t="shared" si="6"/>
        <v>250</v>
      </c>
      <c r="L130">
        <f t="shared" si="7"/>
        <v>205</v>
      </c>
      <c r="M130">
        <f t="shared" si="8"/>
        <v>174</v>
      </c>
    </row>
    <row r="131" spans="1:13" x14ac:dyDescent="0.15">
      <c r="A131" t="s">
        <v>3233</v>
      </c>
      <c r="B131">
        <v>89</v>
      </c>
      <c r="C131">
        <v>865</v>
      </c>
      <c r="D131">
        <v>707</v>
      </c>
      <c r="E131">
        <v>4089</v>
      </c>
      <c r="F131" t="s">
        <v>428</v>
      </c>
      <c r="G131">
        <v>192</v>
      </c>
      <c r="H131" t="s">
        <v>429</v>
      </c>
      <c r="I131" t="s">
        <v>430</v>
      </c>
      <c r="J131" s="657" t="s">
        <v>2438</v>
      </c>
      <c r="K131">
        <f t="shared" si="6"/>
        <v>207</v>
      </c>
      <c r="L131">
        <f t="shared" si="7"/>
        <v>82</v>
      </c>
      <c r="M131">
        <f t="shared" si="8"/>
        <v>0</v>
      </c>
    </row>
    <row r="132" spans="1:13" x14ac:dyDescent="0.15">
      <c r="A132" t="s">
        <v>3234</v>
      </c>
      <c r="B132">
        <v>326</v>
      </c>
      <c r="C132">
        <v>963</v>
      </c>
      <c r="D132">
        <v>309</v>
      </c>
      <c r="E132">
        <v>2322</v>
      </c>
      <c r="F132">
        <v>484</v>
      </c>
      <c r="G132">
        <v>134</v>
      </c>
      <c r="H132" t="s">
        <v>431</v>
      </c>
      <c r="I132" t="s">
        <v>432</v>
      </c>
      <c r="J132" s="659" t="s">
        <v>2442</v>
      </c>
      <c r="K132">
        <f t="shared" si="6"/>
        <v>236</v>
      </c>
      <c r="L132">
        <f t="shared" si="7"/>
        <v>195</v>
      </c>
      <c r="M132">
        <f t="shared" si="8"/>
        <v>165</v>
      </c>
    </row>
    <row r="133" spans="1:13" x14ac:dyDescent="0.15">
      <c r="A133" t="s">
        <v>3235</v>
      </c>
      <c r="B133">
        <v>324</v>
      </c>
      <c r="C133">
        <v>818</v>
      </c>
      <c r="D133">
        <v>308</v>
      </c>
      <c r="E133">
        <v>2324</v>
      </c>
      <c r="F133">
        <v>405</v>
      </c>
      <c r="G133">
        <v>755</v>
      </c>
      <c r="H133" t="s">
        <v>433</v>
      </c>
      <c r="I133" t="s">
        <v>434</v>
      </c>
      <c r="J133" s="660" t="s">
        <v>2444</v>
      </c>
      <c r="K133">
        <f t="shared" si="6"/>
        <v>229</v>
      </c>
      <c r="L133">
        <f t="shared" si="7"/>
        <v>174</v>
      </c>
      <c r="M133">
        <f t="shared" si="8"/>
        <v>134</v>
      </c>
    </row>
    <row r="134" spans="1:13" x14ac:dyDescent="0.15">
      <c r="A134" t="s">
        <v>3236</v>
      </c>
      <c r="B134">
        <v>323</v>
      </c>
      <c r="C134">
        <v>965</v>
      </c>
      <c r="D134">
        <v>307</v>
      </c>
      <c r="E134">
        <v>2323</v>
      </c>
      <c r="F134">
        <v>2402</v>
      </c>
      <c r="G134">
        <v>753</v>
      </c>
      <c r="H134" t="s">
        <v>435</v>
      </c>
      <c r="I134" t="s">
        <v>436</v>
      </c>
      <c r="J134" s="661" t="s">
        <v>2446</v>
      </c>
      <c r="K134">
        <f t="shared" si="6"/>
        <v>213</v>
      </c>
      <c r="L134">
        <f t="shared" si="7"/>
        <v>143</v>
      </c>
      <c r="M134">
        <f t="shared" si="8"/>
        <v>89</v>
      </c>
    </row>
    <row r="135" spans="1:13" x14ac:dyDescent="0.15">
      <c r="A135" t="s">
        <v>3237</v>
      </c>
      <c r="B135" t="s">
        <v>437</v>
      </c>
      <c r="C135">
        <v>808</v>
      </c>
      <c r="D135">
        <v>108</v>
      </c>
      <c r="E135">
        <v>2298</v>
      </c>
      <c r="F135" t="s">
        <v>438</v>
      </c>
      <c r="G135">
        <v>503</v>
      </c>
      <c r="H135" t="s">
        <v>439</v>
      </c>
      <c r="I135" t="s">
        <v>440</v>
      </c>
      <c r="J135" s="664" t="s">
        <v>2452</v>
      </c>
      <c r="K135">
        <f t="shared" si="6"/>
        <v>132</v>
      </c>
      <c r="L135">
        <f t="shared" si="7"/>
        <v>59</v>
      </c>
      <c r="M135">
        <f t="shared" si="8"/>
        <v>0</v>
      </c>
    </row>
    <row r="136" spans="1:13" x14ac:dyDescent="0.15">
      <c r="A136" t="s">
        <v>3238</v>
      </c>
      <c r="B136" t="s">
        <v>441</v>
      </c>
      <c r="C136">
        <v>803</v>
      </c>
      <c r="D136">
        <v>109</v>
      </c>
      <c r="E136">
        <v>2295</v>
      </c>
      <c r="F136" t="s">
        <v>442</v>
      </c>
      <c r="G136">
        <v>502</v>
      </c>
      <c r="H136" t="s">
        <v>443</v>
      </c>
      <c r="I136" t="s">
        <v>444</v>
      </c>
      <c r="J136" s="665" t="s">
        <v>2454</v>
      </c>
      <c r="K136">
        <f t="shared" si="6"/>
        <v>232</v>
      </c>
      <c r="L136">
        <f t="shared" si="7"/>
        <v>206</v>
      </c>
      <c r="M136">
        <f t="shared" si="8"/>
        <v>187</v>
      </c>
    </row>
    <row r="137" spans="1:13" x14ac:dyDescent="0.15">
      <c r="A137" t="s">
        <v>3239</v>
      </c>
      <c r="B137">
        <v>293</v>
      </c>
      <c r="C137">
        <v>802</v>
      </c>
      <c r="D137">
        <v>110</v>
      </c>
      <c r="E137">
        <v>2289</v>
      </c>
      <c r="F137">
        <v>700</v>
      </c>
      <c r="G137">
        <v>501</v>
      </c>
      <c r="H137" t="s">
        <v>445</v>
      </c>
      <c r="I137" t="s">
        <v>446</v>
      </c>
      <c r="J137" s="666" t="s">
        <v>2456</v>
      </c>
      <c r="K137">
        <f t="shared" si="6"/>
        <v>225</v>
      </c>
      <c r="L137">
        <f t="shared" si="7"/>
        <v>190</v>
      </c>
      <c r="M137">
        <f t="shared" si="8"/>
        <v>164</v>
      </c>
    </row>
    <row r="138" spans="1:13" x14ac:dyDescent="0.15">
      <c r="A138" t="s">
        <v>3240</v>
      </c>
      <c r="B138">
        <v>890</v>
      </c>
      <c r="C138">
        <v>812</v>
      </c>
      <c r="D138">
        <v>2209</v>
      </c>
      <c r="E138">
        <v>2875</v>
      </c>
      <c r="F138" t="s">
        <v>447</v>
      </c>
      <c r="G138">
        <v>563</v>
      </c>
      <c r="H138" t="s">
        <v>448</v>
      </c>
      <c r="I138" t="s">
        <v>449</v>
      </c>
      <c r="J138" s="668" t="s">
        <v>2460</v>
      </c>
      <c r="K138">
        <f t="shared" si="6"/>
        <v>195</v>
      </c>
      <c r="L138">
        <f t="shared" si="7"/>
        <v>142</v>
      </c>
      <c r="M138">
        <f t="shared" si="8"/>
        <v>99</v>
      </c>
    </row>
    <row r="139" spans="1:13" x14ac:dyDescent="0.15">
      <c r="A139" t="s">
        <v>3241</v>
      </c>
      <c r="B139">
        <v>845</v>
      </c>
      <c r="C139">
        <v>951</v>
      </c>
      <c r="D139">
        <v>1614</v>
      </c>
      <c r="E139" t="s">
        <v>69</v>
      </c>
      <c r="F139" t="s">
        <v>450</v>
      </c>
      <c r="G139">
        <v>285</v>
      </c>
      <c r="H139" t="s">
        <v>451</v>
      </c>
      <c r="I139" t="s">
        <v>452</v>
      </c>
      <c r="J139" s="669" t="s">
        <v>2462</v>
      </c>
      <c r="K139">
        <f t="shared" si="6"/>
        <v>172</v>
      </c>
      <c r="L139">
        <f t="shared" si="7"/>
        <v>112</v>
      </c>
      <c r="M139">
        <f t="shared" si="8"/>
        <v>61</v>
      </c>
    </row>
    <row r="140" spans="1:13" x14ac:dyDescent="0.15">
      <c r="A140" t="s">
        <v>453</v>
      </c>
      <c r="B140">
        <v>924</v>
      </c>
      <c r="C140">
        <v>952</v>
      </c>
      <c r="D140">
        <v>1613</v>
      </c>
      <c r="E140">
        <v>6844</v>
      </c>
      <c r="F140">
        <v>825686</v>
      </c>
      <c r="G140">
        <v>285</v>
      </c>
      <c r="H140" t="s">
        <v>454</v>
      </c>
      <c r="I140" t="s">
        <v>455</v>
      </c>
      <c r="J140" t="e">
        <v>#N/A</v>
      </c>
      <c r="K140" t="e">
        <f t="shared" si="6"/>
        <v>#N/A</v>
      </c>
      <c r="L140" t="e">
        <f t="shared" si="7"/>
        <v>#N/A</v>
      </c>
      <c r="M140" t="e">
        <f t="shared" si="8"/>
        <v>#N/A</v>
      </c>
    </row>
    <row r="141" spans="1:13" x14ac:dyDescent="0.15">
      <c r="A141" t="s">
        <v>3242</v>
      </c>
      <c r="B141">
        <v>281</v>
      </c>
      <c r="C141">
        <v>952</v>
      </c>
      <c r="D141">
        <v>1612</v>
      </c>
      <c r="E141" t="s">
        <v>69</v>
      </c>
      <c r="F141" t="s">
        <v>456</v>
      </c>
      <c r="G141">
        <v>284</v>
      </c>
      <c r="H141" t="s">
        <v>457</v>
      </c>
      <c r="I141" t="s">
        <v>458</v>
      </c>
      <c r="J141" s="671" t="s">
        <v>2466</v>
      </c>
      <c r="K141">
        <f t="shared" si="6"/>
        <v>100</v>
      </c>
      <c r="L141">
        <f t="shared" si="7"/>
        <v>48</v>
      </c>
      <c r="M141">
        <f t="shared" si="8"/>
        <v>10</v>
      </c>
    </row>
    <row r="142" spans="1:13" x14ac:dyDescent="0.15">
      <c r="A142" t="s">
        <v>3243</v>
      </c>
      <c r="B142">
        <v>280</v>
      </c>
      <c r="C142">
        <v>952</v>
      </c>
      <c r="D142">
        <v>1611</v>
      </c>
      <c r="E142" t="s">
        <v>69</v>
      </c>
      <c r="F142">
        <v>823</v>
      </c>
      <c r="G142">
        <v>2835</v>
      </c>
      <c r="H142" t="s">
        <v>459</v>
      </c>
      <c r="I142" t="s">
        <v>460</v>
      </c>
      <c r="J142" t="e">
        <v>#N/A</v>
      </c>
      <c r="K142" t="e">
        <f t="shared" si="6"/>
        <v>#N/A</v>
      </c>
      <c r="L142" t="e">
        <f t="shared" si="7"/>
        <v>#N/A</v>
      </c>
      <c r="M142" t="e">
        <f t="shared" si="8"/>
        <v>#N/A</v>
      </c>
    </row>
    <row r="143" spans="1:13" x14ac:dyDescent="0.15">
      <c r="A143" t="s">
        <v>3244</v>
      </c>
      <c r="B143">
        <v>279</v>
      </c>
      <c r="C143">
        <v>949</v>
      </c>
      <c r="D143">
        <v>1610</v>
      </c>
      <c r="E143" t="s">
        <v>69</v>
      </c>
      <c r="F143">
        <v>822</v>
      </c>
      <c r="G143">
        <v>283</v>
      </c>
      <c r="H143" t="s">
        <v>461</v>
      </c>
      <c r="I143" t="s">
        <v>462</v>
      </c>
      <c r="J143" t="e">
        <v>#N/A</v>
      </c>
      <c r="K143" t="e">
        <f t="shared" si="6"/>
        <v>#N/A</v>
      </c>
      <c r="L143" t="e">
        <f t="shared" si="7"/>
        <v>#N/A</v>
      </c>
      <c r="M143" t="e">
        <f t="shared" si="8"/>
        <v>#N/A</v>
      </c>
    </row>
    <row r="144" spans="1:13" x14ac:dyDescent="0.15">
      <c r="A144" t="s">
        <v>3245</v>
      </c>
      <c r="B144" t="s">
        <v>463</v>
      </c>
      <c r="C144">
        <v>958</v>
      </c>
      <c r="D144">
        <v>2013</v>
      </c>
      <c r="E144">
        <v>5375</v>
      </c>
      <c r="F144">
        <v>307</v>
      </c>
      <c r="G144">
        <v>734</v>
      </c>
      <c r="H144" t="s">
        <v>464</v>
      </c>
      <c r="I144" t="s">
        <v>465</v>
      </c>
      <c r="J144" t="e">
        <v>#N/A</v>
      </c>
      <c r="K144" t="e">
        <f t="shared" ref="K144:K181" si="9">HEX2DEC(MID(J144,2,2))</f>
        <v>#N/A</v>
      </c>
      <c r="L144" t="e">
        <f t="shared" ref="L144:L181" si="10">HEX2DEC(MID(J144,4,2))</f>
        <v>#N/A</v>
      </c>
      <c r="M144" t="e">
        <f t="shared" ref="M144:M181" si="11">HEX2DEC(MID(J144,6,2))</f>
        <v>#N/A</v>
      </c>
    </row>
    <row r="145" spans="1:13" x14ac:dyDescent="0.15">
      <c r="A145" t="s">
        <v>3246</v>
      </c>
      <c r="B145" t="s">
        <v>466</v>
      </c>
      <c r="C145">
        <v>957</v>
      </c>
      <c r="D145">
        <v>2014</v>
      </c>
      <c r="E145">
        <v>5369</v>
      </c>
      <c r="F145">
        <v>306</v>
      </c>
      <c r="G145">
        <v>733</v>
      </c>
      <c r="H145" t="s">
        <v>467</v>
      </c>
      <c r="I145" t="s">
        <v>468</v>
      </c>
      <c r="J145" t="e">
        <v>#N/A</v>
      </c>
      <c r="K145" t="e">
        <f t="shared" si="9"/>
        <v>#N/A</v>
      </c>
      <c r="L145" t="e">
        <f t="shared" si="10"/>
        <v>#N/A</v>
      </c>
      <c r="M145" t="e">
        <f t="shared" si="11"/>
        <v>#N/A</v>
      </c>
    </row>
    <row r="146" spans="1:13" x14ac:dyDescent="0.15">
      <c r="A146" t="s">
        <v>3247</v>
      </c>
      <c r="B146">
        <v>925</v>
      </c>
      <c r="C146">
        <v>818</v>
      </c>
      <c r="D146">
        <v>202</v>
      </c>
      <c r="E146">
        <v>2327</v>
      </c>
      <c r="F146">
        <v>147</v>
      </c>
      <c r="G146">
        <v>535</v>
      </c>
      <c r="H146" t="s">
        <v>469</v>
      </c>
      <c r="I146" t="s">
        <v>470</v>
      </c>
      <c r="J146" t="e">
        <v>#N/A</v>
      </c>
      <c r="K146" t="e">
        <f t="shared" si="9"/>
        <v>#N/A</v>
      </c>
      <c r="L146" t="e">
        <f t="shared" si="10"/>
        <v>#N/A</v>
      </c>
      <c r="M146" t="e">
        <f t="shared" si="11"/>
        <v>#N/A</v>
      </c>
    </row>
    <row r="147" spans="1:13" x14ac:dyDescent="0.15">
      <c r="A147" t="s">
        <v>3248</v>
      </c>
      <c r="B147" t="s">
        <v>471</v>
      </c>
      <c r="C147">
        <v>816</v>
      </c>
      <c r="D147">
        <v>201</v>
      </c>
      <c r="E147">
        <v>2314</v>
      </c>
      <c r="F147" t="s">
        <v>472</v>
      </c>
      <c r="G147">
        <v>533</v>
      </c>
      <c r="H147" t="s">
        <v>473</v>
      </c>
      <c r="I147" t="s">
        <v>474</v>
      </c>
      <c r="J147" t="e">
        <v>#N/A</v>
      </c>
      <c r="K147" t="e">
        <f t="shared" si="9"/>
        <v>#N/A</v>
      </c>
      <c r="L147" t="e">
        <f t="shared" si="10"/>
        <v>#N/A</v>
      </c>
      <c r="M147" t="e">
        <f t="shared" si="11"/>
        <v>#N/A</v>
      </c>
    </row>
    <row r="148" spans="1:13" x14ac:dyDescent="0.15">
      <c r="A148" t="s">
        <v>3249</v>
      </c>
      <c r="B148">
        <v>303</v>
      </c>
      <c r="C148">
        <v>809</v>
      </c>
      <c r="D148">
        <v>114</v>
      </c>
      <c r="E148">
        <v>2303</v>
      </c>
      <c r="F148">
        <v>145</v>
      </c>
      <c r="G148">
        <v>523</v>
      </c>
      <c r="H148" t="s">
        <v>475</v>
      </c>
      <c r="I148" t="s">
        <v>476</v>
      </c>
      <c r="J148" t="e">
        <v>#N/A</v>
      </c>
      <c r="K148" t="e">
        <f t="shared" si="9"/>
        <v>#N/A</v>
      </c>
      <c r="L148" t="e">
        <f t="shared" si="10"/>
        <v>#N/A</v>
      </c>
      <c r="M148" t="e">
        <f t="shared" si="11"/>
        <v>#N/A</v>
      </c>
    </row>
    <row r="149" spans="1:13" x14ac:dyDescent="0.15">
      <c r="A149" t="s">
        <v>3250</v>
      </c>
      <c r="B149">
        <v>302</v>
      </c>
      <c r="C149">
        <v>808</v>
      </c>
      <c r="D149">
        <v>113</v>
      </c>
      <c r="E149">
        <v>2294</v>
      </c>
      <c r="F149">
        <v>144</v>
      </c>
      <c r="G149">
        <v>522</v>
      </c>
      <c r="H149" t="s">
        <v>477</v>
      </c>
      <c r="I149" t="s">
        <v>478</v>
      </c>
      <c r="J149" t="e">
        <v>#N/A</v>
      </c>
      <c r="K149" t="e">
        <f t="shared" si="9"/>
        <v>#N/A</v>
      </c>
      <c r="L149" t="e">
        <f t="shared" si="10"/>
        <v>#N/A</v>
      </c>
      <c r="M149" t="e">
        <f t="shared" si="11"/>
        <v>#N/A</v>
      </c>
    </row>
    <row r="150" spans="1:13" x14ac:dyDescent="0.15">
      <c r="A150" t="s">
        <v>3251</v>
      </c>
      <c r="B150">
        <v>301</v>
      </c>
      <c r="C150">
        <v>807</v>
      </c>
      <c r="D150">
        <v>112</v>
      </c>
      <c r="E150">
        <v>2293</v>
      </c>
      <c r="F150">
        <v>143</v>
      </c>
      <c r="G150">
        <v>521</v>
      </c>
      <c r="H150" t="s">
        <v>479</v>
      </c>
      <c r="I150" t="s">
        <v>480</v>
      </c>
      <c r="J150" t="e">
        <v>#N/A</v>
      </c>
      <c r="K150" t="e">
        <f t="shared" si="9"/>
        <v>#N/A</v>
      </c>
      <c r="L150" t="e">
        <f t="shared" si="10"/>
        <v>#N/A</v>
      </c>
      <c r="M150" t="e">
        <f t="shared" si="11"/>
        <v>#N/A</v>
      </c>
    </row>
    <row r="151" spans="1:13" x14ac:dyDescent="0.15">
      <c r="A151" t="s">
        <v>3252</v>
      </c>
      <c r="B151">
        <v>300</v>
      </c>
      <c r="C151">
        <v>806</v>
      </c>
      <c r="D151">
        <v>111</v>
      </c>
      <c r="E151">
        <v>2296</v>
      </c>
      <c r="F151">
        <v>142</v>
      </c>
      <c r="G151">
        <v>5205</v>
      </c>
      <c r="H151" t="s">
        <v>481</v>
      </c>
      <c r="I151" t="s">
        <v>482</v>
      </c>
      <c r="J151" t="e">
        <v>#N/A</v>
      </c>
      <c r="K151" t="e">
        <f t="shared" si="9"/>
        <v>#N/A</v>
      </c>
      <c r="L151" t="e">
        <f t="shared" si="10"/>
        <v>#N/A</v>
      </c>
      <c r="M151" t="e">
        <f t="shared" si="11"/>
        <v>#N/A</v>
      </c>
    </row>
    <row r="152" spans="1:13" x14ac:dyDescent="0.15">
      <c r="A152" t="s">
        <v>3253</v>
      </c>
      <c r="B152">
        <v>275</v>
      </c>
      <c r="C152">
        <v>805</v>
      </c>
      <c r="D152">
        <v>101</v>
      </c>
      <c r="E152">
        <v>2275</v>
      </c>
      <c r="F152" t="s">
        <v>483</v>
      </c>
      <c r="G152">
        <v>520</v>
      </c>
      <c r="H152" t="s">
        <v>484</v>
      </c>
      <c r="I152" t="s">
        <v>485</v>
      </c>
      <c r="J152" t="e">
        <v>#N/A</v>
      </c>
      <c r="K152" t="e">
        <f t="shared" si="9"/>
        <v>#N/A</v>
      </c>
      <c r="L152" t="e">
        <f t="shared" si="10"/>
        <v>#N/A</v>
      </c>
      <c r="M152" t="e">
        <f t="shared" si="11"/>
        <v>#N/A</v>
      </c>
    </row>
    <row r="153" spans="1:13" x14ac:dyDescent="0.15">
      <c r="A153" t="s">
        <v>3254</v>
      </c>
      <c r="B153">
        <v>158</v>
      </c>
      <c r="C153">
        <v>898</v>
      </c>
      <c r="D153">
        <v>1104</v>
      </c>
      <c r="E153">
        <v>7053</v>
      </c>
      <c r="F153" t="s">
        <v>486</v>
      </c>
      <c r="G153">
        <v>383</v>
      </c>
      <c r="H153" t="s">
        <v>487</v>
      </c>
      <c r="I153" t="s">
        <v>488</v>
      </c>
      <c r="J153" t="e">
        <v>#N/A</v>
      </c>
      <c r="K153" t="e">
        <f t="shared" si="9"/>
        <v>#N/A</v>
      </c>
      <c r="L153" t="e">
        <f t="shared" si="10"/>
        <v>#N/A</v>
      </c>
      <c r="M153" t="e">
        <f t="shared" si="11"/>
        <v>#N/A</v>
      </c>
    </row>
    <row r="154" spans="1:13" x14ac:dyDescent="0.15">
      <c r="A154" t="s">
        <v>3255</v>
      </c>
      <c r="B154" t="s">
        <v>489</v>
      </c>
      <c r="C154">
        <v>967</v>
      </c>
      <c r="D154">
        <v>305</v>
      </c>
      <c r="E154">
        <v>2331</v>
      </c>
      <c r="F154" t="s">
        <v>490</v>
      </c>
      <c r="G154">
        <v>140</v>
      </c>
      <c r="H154" t="s">
        <v>491</v>
      </c>
      <c r="I154" t="s">
        <v>492</v>
      </c>
      <c r="J154" t="e">
        <v>#N/A</v>
      </c>
      <c r="K154" t="e">
        <f t="shared" si="9"/>
        <v>#N/A</v>
      </c>
      <c r="L154" t="e">
        <f t="shared" si="10"/>
        <v>#N/A</v>
      </c>
      <c r="M154" t="e">
        <f t="shared" si="11"/>
        <v>#N/A</v>
      </c>
    </row>
    <row r="155" spans="1:13" x14ac:dyDescent="0.15">
      <c r="A155" t="s">
        <v>3256</v>
      </c>
      <c r="B155" t="s">
        <v>493</v>
      </c>
      <c r="C155">
        <v>968</v>
      </c>
      <c r="D155">
        <v>403</v>
      </c>
      <c r="E155">
        <v>3868</v>
      </c>
      <c r="F155" t="s">
        <v>494</v>
      </c>
      <c r="G155">
        <v>765</v>
      </c>
      <c r="H155" t="s">
        <v>495</v>
      </c>
      <c r="I155" t="s">
        <v>496</v>
      </c>
      <c r="J155" t="e">
        <v>#N/A</v>
      </c>
      <c r="K155" t="e">
        <f t="shared" si="9"/>
        <v>#N/A</v>
      </c>
      <c r="L155" t="e">
        <f t="shared" si="10"/>
        <v>#N/A</v>
      </c>
      <c r="M155" t="e">
        <f t="shared" si="11"/>
        <v>#N/A</v>
      </c>
    </row>
    <row r="156" spans="1:13" x14ac:dyDescent="0.15">
      <c r="A156" t="s">
        <v>3257</v>
      </c>
      <c r="B156">
        <v>1022</v>
      </c>
      <c r="C156">
        <v>838</v>
      </c>
      <c r="D156">
        <v>405</v>
      </c>
      <c r="E156">
        <v>3069</v>
      </c>
      <c r="F156" t="s">
        <v>497</v>
      </c>
      <c r="G156">
        <v>142</v>
      </c>
      <c r="H156" t="s">
        <v>498</v>
      </c>
      <c r="I156" t="s">
        <v>499</v>
      </c>
      <c r="J156" t="e">
        <v>#N/A</v>
      </c>
      <c r="K156" t="e">
        <f t="shared" si="9"/>
        <v>#N/A</v>
      </c>
      <c r="L156" t="e">
        <f t="shared" si="10"/>
        <v>#N/A</v>
      </c>
      <c r="M156" t="e">
        <f t="shared" si="11"/>
        <v>#N/A</v>
      </c>
    </row>
    <row r="157" spans="1:13" x14ac:dyDescent="0.15">
      <c r="A157" t="s">
        <v>3258</v>
      </c>
      <c r="B157" t="s">
        <v>500</v>
      </c>
      <c r="C157">
        <v>837</v>
      </c>
      <c r="D157">
        <v>404</v>
      </c>
      <c r="E157">
        <v>3068</v>
      </c>
      <c r="F157" t="s">
        <v>501</v>
      </c>
      <c r="G157">
        <v>141</v>
      </c>
      <c r="H157" t="s">
        <v>502</v>
      </c>
      <c r="I157" t="s">
        <v>503</v>
      </c>
      <c r="J157" t="e">
        <v>#N/A</v>
      </c>
      <c r="K157" t="e">
        <f t="shared" si="9"/>
        <v>#N/A</v>
      </c>
      <c r="L157" t="e">
        <f t="shared" si="10"/>
        <v>#N/A</v>
      </c>
      <c r="M157" t="e">
        <f t="shared" si="11"/>
        <v>#N/A</v>
      </c>
    </row>
    <row r="158" spans="1:13" x14ac:dyDescent="0.15">
      <c r="A158" t="s">
        <v>3259</v>
      </c>
      <c r="B158">
        <v>234</v>
      </c>
      <c r="C158">
        <v>886</v>
      </c>
      <c r="D158">
        <v>1804</v>
      </c>
      <c r="E158">
        <v>8510</v>
      </c>
      <c r="F158" t="s">
        <v>504</v>
      </c>
      <c r="G158">
        <v>483</v>
      </c>
      <c r="H158" t="s">
        <v>505</v>
      </c>
      <c r="I158" t="s">
        <v>506</v>
      </c>
      <c r="J158" t="e">
        <v>#N/A</v>
      </c>
      <c r="K158" t="e">
        <f t="shared" si="9"/>
        <v>#N/A</v>
      </c>
      <c r="L158" t="e">
        <f t="shared" si="10"/>
        <v>#N/A</v>
      </c>
      <c r="M158" t="e">
        <f t="shared" si="11"/>
        <v>#N/A</v>
      </c>
    </row>
    <row r="159" spans="1:13" x14ac:dyDescent="0.15">
      <c r="A159" t="s">
        <v>3260</v>
      </c>
      <c r="B159">
        <v>259</v>
      </c>
      <c r="C159">
        <v>939</v>
      </c>
      <c r="D159">
        <v>1604</v>
      </c>
      <c r="E159">
        <v>6250</v>
      </c>
      <c r="F159">
        <v>116</v>
      </c>
      <c r="G159">
        <v>227</v>
      </c>
      <c r="H159" t="s">
        <v>507</v>
      </c>
      <c r="I159" t="s">
        <v>508</v>
      </c>
      <c r="J159" t="e">
        <v>#N/A</v>
      </c>
      <c r="K159" t="e">
        <f t="shared" si="9"/>
        <v>#N/A</v>
      </c>
      <c r="L159" t="e">
        <f t="shared" si="10"/>
        <v>#N/A</v>
      </c>
      <c r="M159" t="e">
        <f t="shared" si="11"/>
        <v>#N/A</v>
      </c>
    </row>
    <row r="160" spans="1:13" x14ac:dyDescent="0.15">
      <c r="A160" t="s">
        <v>3261</v>
      </c>
      <c r="B160">
        <v>1031</v>
      </c>
      <c r="C160">
        <v>892</v>
      </c>
      <c r="D160">
        <v>1001</v>
      </c>
      <c r="E160">
        <v>7031</v>
      </c>
      <c r="F160" t="s">
        <v>509</v>
      </c>
      <c r="G160">
        <v>301</v>
      </c>
      <c r="H160" t="s">
        <v>510</v>
      </c>
      <c r="I160" t="s">
        <v>511</v>
      </c>
      <c r="J160" t="e">
        <v>#N/A</v>
      </c>
      <c r="K160" t="e">
        <f t="shared" si="9"/>
        <v>#N/A</v>
      </c>
      <c r="L160" t="e">
        <f t="shared" si="10"/>
        <v>#N/A</v>
      </c>
      <c r="M160" t="e">
        <f t="shared" si="11"/>
        <v>#N/A</v>
      </c>
    </row>
    <row r="161" spans="1:13" x14ac:dyDescent="0.15">
      <c r="A161" t="s">
        <v>512</v>
      </c>
      <c r="B161">
        <v>24</v>
      </c>
      <c r="C161">
        <v>842</v>
      </c>
      <c r="D161">
        <v>503</v>
      </c>
      <c r="E161">
        <v>3281</v>
      </c>
      <c r="F161" t="s">
        <v>513</v>
      </c>
      <c r="G161">
        <v>117</v>
      </c>
      <c r="H161" t="s">
        <v>514</v>
      </c>
      <c r="I161" t="s">
        <v>515</v>
      </c>
      <c r="J161" t="e">
        <v>#N/A</v>
      </c>
      <c r="K161" t="e">
        <f t="shared" si="9"/>
        <v>#N/A</v>
      </c>
      <c r="L161" t="e">
        <f t="shared" si="10"/>
        <v>#N/A</v>
      </c>
      <c r="M161" t="e">
        <f t="shared" si="11"/>
        <v>#N/A</v>
      </c>
    </row>
    <row r="162" spans="1:13" x14ac:dyDescent="0.15">
      <c r="A162" t="s">
        <v>3262</v>
      </c>
      <c r="B162" t="s">
        <v>516</v>
      </c>
      <c r="C162">
        <v>858</v>
      </c>
      <c r="D162">
        <v>808</v>
      </c>
      <c r="E162">
        <v>3060</v>
      </c>
      <c r="F162">
        <v>232</v>
      </c>
      <c r="G162">
        <v>791</v>
      </c>
      <c r="H162" t="s">
        <v>517</v>
      </c>
      <c r="I162" t="s">
        <v>518</v>
      </c>
      <c r="J162" t="e">
        <v>#N/A</v>
      </c>
      <c r="K162" t="e">
        <f t="shared" si="9"/>
        <v>#N/A</v>
      </c>
      <c r="L162" t="e">
        <f t="shared" si="10"/>
        <v>#N/A</v>
      </c>
      <c r="M162" t="e">
        <f t="shared" si="11"/>
        <v>#N/A</v>
      </c>
    </row>
    <row r="163" spans="1:13" x14ac:dyDescent="0.15">
      <c r="A163" t="s">
        <v>3263</v>
      </c>
      <c r="B163">
        <v>310</v>
      </c>
      <c r="C163">
        <v>960</v>
      </c>
      <c r="D163">
        <v>2214</v>
      </c>
      <c r="E163">
        <v>5374</v>
      </c>
      <c r="F163">
        <v>706</v>
      </c>
      <c r="G163">
        <v>516</v>
      </c>
      <c r="H163" t="s">
        <v>519</v>
      </c>
      <c r="I163" t="s">
        <v>520</v>
      </c>
      <c r="J163" t="e">
        <v>#N/A</v>
      </c>
      <c r="K163" t="e">
        <f t="shared" si="9"/>
        <v>#N/A</v>
      </c>
      <c r="L163" t="e">
        <f t="shared" si="10"/>
        <v>#N/A</v>
      </c>
      <c r="M163" t="e">
        <f t="shared" si="11"/>
        <v>#N/A</v>
      </c>
    </row>
    <row r="164" spans="1:13" x14ac:dyDescent="0.15">
      <c r="A164" t="s">
        <v>521</v>
      </c>
      <c r="B164">
        <v>309</v>
      </c>
      <c r="C164">
        <v>813</v>
      </c>
      <c r="D164">
        <v>2213</v>
      </c>
      <c r="E164">
        <v>5309</v>
      </c>
      <c r="F164">
        <v>706</v>
      </c>
      <c r="G164">
        <v>516</v>
      </c>
      <c r="H164" t="s">
        <v>522</v>
      </c>
      <c r="I164" t="s">
        <v>523</v>
      </c>
      <c r="J164" t="e">
        <v>#N/A</v>
      </c>
      <c r="K164" t="e">
        <f t="shared" si="9"/>
        <v>#N/A</v>
      </c>
      <c r="L164" t="e">
        <f t="shared" si="10"/>
        <v>#N/A</v>
      </c>
      <c r="M164" t="e">
        <f t="shared" si="11"/>
        <v>#N/A</v>
      </c>
    </row>
    <row r="165" spans="1:13" x14ac:dyDescent="0.15">
      <c r="A165" t="s">
        <v>3264</v>
      </c>
      <c r="B165">
        <v>308</v>
      </c>
      <c r="C165">
        <v>813</v>
      </c>
      <c r="D165">
        <v>2212</v>
      </c>
      <c r="E165">
        <v>5308</v>
      </c>
      <c r="F165">
        <v>705</v>
      </c>
      <c r="G165">
        <v>514</v>
      </c>
      <c r="H165" t="s">
        <v>524</v>
      </c>
      <c r="I165" t="s">
        <v>525</v>
      </c>
      <c r="J165" t="e">
        <v>#N/A</v>
      </c>
      <c r="K165" t="e">
        <f t="shared" si="9"/>
        <v>#N/A</v>
      </c>
      <c r="L165" t="e">
        <f t="shared" si="10"/>
        <v>#N/A</v>
      </c>
      <c r="M165" t="e">
        <f t="shared" si="11"/>
        <v>#N/A</v>
      </c>
    </row>
    <row r="166" spans="1:13" x14ac:dyDescent="0.15">
      <c r="A166" t="s">
        <v>3265</v>
      </c>
      <c r="B166">
        <v>307</v>
      </c>
      <c r="C166">
        <v>812</v>
      </c>
      <c r="D166">
        <v>2211</v>
      </c>
      <c r="E166">
        <v>5307</v>
      </c>
      <c r="F166">
        <v>703</v>
      </c>
      <c r="G166">
        <v>512</v>
      </c>
      <c r="H166" t="s">
        <v>526</v>
      </c>
      <c r="I166" t="s">
        <v>527</v>
      </c>
      <c r="J166" t="e">
        <v>#N/A</v>
      </c>
      <c r="K166" t="e">
        <f t="shared" si="9"/>
        <v>#N/A</v>
      </c>
      <c r="L166" t="e">
        <f t="shared" si="10"/>
        <v>#N/A</v>
      </c>
      <c r="M166" t="e">
        <f t="shared" si="11"/>
        <v>#N/A</v>
      </c>
    </row>
    <row r="167" spans="1:13" x14ac:dyDescent="0.15">
      <c r="A167" t="s">
        <v>3266</v>
      </c>
      <c r="B167" t="s">
        <v>528</v>
      </c>
      <c r="C167">
        <v>884</v>
      </c>
      <c r="D167">
        <v>904</v>
      </c>
      <c r="E167">
        <v>7024</v>
      </c>
      <c r="F167">
        <v>665</v>
      </c>
      <c r="G167">
        <v>334</v>
      </c>
      <c r="H167" t="s">
        <v>529</v>
      </c>
      <c r="I167" t="s">
        <v>530</v>
      </c>
      <c r="J167" t="e">
        <v>#N/A</v>
      </c>
      <c r="K167" t="e">
        <f t="shared" si="9"/>
        <v>#N/A</v>
      </c>
      <c r="L167" t="e">
        <f t="shared" si="10"/>
        <v>#N/A</v>
      </c>
      <c r="M167" t="e">
        <f t="shared" si="11"/>
        <v>#N/A</v>
      </c>
    </row>
    <row r="168" spans="1:13" x14ac:dyDescent="0.15">
      <c r="A168" t="s">
        <v>3267</v>
      </c>
      <c r="B168" t="s">
        <v>531</v>
      </c>
      <c r="C168">
        <v>881</v>
      </c>
      <c r="D168">
        <v>905</v>
      </c>
      <c r="E168">
        <v>7150</v>
      </c>
      <c r="F168">
        <v>664</v>
      </c>
      <c r="G168">
        <v>333</v>
      </c>
      <c r="H168" t="s">
        <v>532</v>
      </c>
      <c r="I168" t="s">
        <v>533</v>
      </c>
      <c r="J168" t="e">
        <v>#N/A</v>
      </c>
      <c r="K168" t="e">
        <f t="shared" si="9"/>
        <v>#N/A</v>
      </c>
      <c r="L168" t="e">
        <f t="shared" si="10"/>
        <v>#N/A</v>
      </c>
      <c r="M168" t="e">
        <f t="shared" si="11"/>
        <v>#N/A</v>
      </c>
    </row>
    <row r="169" spans="1:13" x14ac:dyDescent="0.15">
      <c r="A169" t="s">
        <v>3268</v>
      </c>
      <c r="B169" t="s">
        <v>534</v>
      </c>
      <c r="C169">
        <v>880</v>
      </c>
      <c r="D169">
        <v>906</v>
      </c>
      <c r="E169">
        <v>7030</v>
      </c>
      <c r="F169">
        <v>663</v>
      </c>
      <c r="G169">
        <v>332</v>
      </c>
      <c r="H169" t="s">
        <v>535</v>
      </c>
      <c r="I169" t="s">
        <v>536</v>
      </c>
      <c r="J169" t="e">
        <v>#N/A</v>
      </c>
      <c r="K169" t="e">
        <f t="shared" si="9"/>
        <v>#N/A</v>
      </c>
      <c r="L169" t="e">
        <f t="shared" si="10"/>
        <v>#N/A</v>
      </c>
      <c r="M169" t="e">
        <f t="shared" si="11"/>
        <v>#N/A</v>
      </c>
    </row>
    <row r="170" spans="1:13" x14ac:dyDescent="0.15">
      <c r="A170" t="s">
        <v>3269</v>
      </c>
      <c r="B170" t="s">
        <v>537</v>
      </c>
      <c r="C170">
        <v>879</v>
      </c>
      <c r="D170">
        <v>907</v>
      </c>
      <c r="E170">
        <v>7977</v>
      </c>
      <c r="F170">
        <v>662</v>
      </c>
      <c r="G170">
        <v>363</v>
      </c>
      <c r="H170" t="s">
        <v>538</v>
      </c>
      <c r="I170" t="s">
        <v>539</v>
      </c>
      <c r="J170" t="e">
        <v>#N/A</v>
      </c>
      <c r="K170" t="e">
        <f t="shared" si="9"/>
        <v>#N/A</v>
      </c>
      <c r="L170" t="e">
        <f t="shared" si="10"/>
        <v>#N/A</v>
      </c>
      <c r="M170" t="e">
        <f t="shared" si="11"/>
        <v>#N/A</v>
      </c>
    </row>
    <row r="171" spans="1:13" x14ac:dyDescent="0.15">
      <c r="A171" t="s">
        <v>3270</v>
      </c>
      <c r="B171" t="s">
        <v>540</v>
      </c>
      <c r="C171">
        <v>891</v>
      </c>
      <c r="D171">
        <v>913</v>
      </c>
      <c r="E171">
        <v>7100</v>
      </c>
      <c r="F171">
        <v>216</v>
      </c>
      <c r="G171">
        <v>308</v>
      </c>
      <c r="H171" t="s">
        <v>541</v>
      </c>
      <c r="I171" t="s">
        <v>542</v>
      </c>
      <c r="J171" t="e">
        <v>#N/A</v>
      </c>
      <c r="K171" t="e">
        <f t="shared" si="9"/>
        <v>#N/A</v>
      </c>
      <c r="L171" t="e">
        <f t="shared" si="10"/>
        <v>#N/A</v>
      </c>
      <c r="M171" t="e">
        <f t="shared" si="11"/>
        <v>#N/A</v>
      </c>
    </row>
    <row r="172" spans="1:13" x14ac:dyDescent="0.15">
      <c r="A172" t="s">
        <v>3271</v>
      </c>
      <c r="B172" t="s">
        <v>543</v>
      </c>
      <c r="C172">
        <v>881</v>
      </c>
      <c r="D172">
        <v>912</v>
      </c>
      <c r="E172">
        <v>7023</v>
      </c>
      <c r="F172" t="s">
        <v>544</v>
      </c>
      <c r="G172">
        <v>366</v>
      </c>
      <c r="H172" t="s">
        <v>545</v>
      </c>
      <c r="I172" t="s">
        <v>546</v>
      </c>
      <c r="J172" t="e">
        <v>#N/A</v>
      </c>
      <c r="K172" t="e">
        <f t="shared" si="9"/>
        <v>#N/A</v>
      </c>
      <c r="L172" t="e">
        <f t="shared" si="10"/>
        <v>#N/A</v>
      </c>
      <c r="M172" t="e">
        <f t="shared" si="11"/>
        <v>#N/A</v>
      </c>
    </row>
    <row r="173" spans="1:13" x14ac:dyDescent="0.15">
      <c r="A173" t="s">
        <v>3272</v>
      </c>
      <c r="B173" t="s">
        <v>547</v>
      </c>
      <c r="C173">
        <v>890</v>
      </c>
      <c r="D173">
        <v>911</v>
      </c>
      <c r="E173">
        <v>7022</v>
      </c>
      <c r="F173" t="s">
        <v>548</v>
      </c>
      <c r="G173">
        <v>365</v>
      </c>
      <c r="H173" t="s">
        <v>549</v>
      </c>
      <c r="I173" t="s">
        <v>550</v>
      </c>
      <c r="J173" t="e">
        <v>#N/A</v>
      </c>
      <c r="K173" t="e">
        <f t="shared" si="9"/>
        <v>#N/A</v>
      </c>
      <c r="L173" t="e">
        <f t="shared" si="10"/>
        <v>#N/A</v>
      </c>
      <c r="M173" t="e">
        <f t="shared" si="11"/>
        <v>#N/A</v>
      </c>
    </row>
    <row r="174" spans="1:13" x14ac:dyDescent="0.15">
      <c r="A174" t="s">
        <v>3273</v>
      </c>
      <c r="B174" t="s">
        <v>551</v>
      </c>
      <c r="C174">
        <v>888</v>
      </c>
      <c r="D174">
        <v>910</v>
      </c>
      <c r="E174">
        <v>7030</v>
      </c>
      <c r="F174" t="s">
        <v>552</v>
      </c>
      <c r="G174">
        <v>332</v>
      </c>
      <c r="H174" t="s">
        <v>553</v>
      </c>
      <c r="I174" t="s">
        <v>554</v>
      </c>
      <c r="J174" t="e">
        <v>#N/A</v>
      </c>
      <c r="K174" t="e">
        <f t="shared" si="9"/>
        <v>#N/A</v>
      </c>
      <c r="L174" t="e">
        <f t="shared" si="10"/>
        <v>#N/A</v>
      </c>
      <c r="M174" t="e">
        <f t="shared" si="11"/>
        <v>#N/A</v>
      </c>
    </row>
    <row r="175" spans="1:13" x14ac:dyDescent="0.15">
      <c r="A175" t="s">
        <v>3274</v>
      </c>
      <c r="B175" t="s">
        <v>555</v>
      </c>
      <c r="C175">
        <v>887</v>
      </c>
      <c r="D175">
        <v>908</v>
      </c>
      <c r="E175">
        <v>7021</v>
      </c>
      <c r="F175">
        <v>212</v>
      </c>
      <c r="G175">
        <v>362</v>
      </c>
      <c r="H175" t="s">
        <v>556</v>
      </c>
      <c r="I175" t="s">
        <v>557</v>
      </c>
      <c r="J175" t="e">
        <v>#N/A</v>
      </c>
      <c r="K175" t="e">
        <f t="shared" si="9"/>
        <v>#N/A</v>
      </c>
      <c r="L175" t="e">
        <f t="shared" si="10"/>
        <v>#N/A</v>
      </c>
      <c r="M175" t="e">
        <f t="shared" si="11"/>
        <v>#N/A</v>
      </c>
    </row>
    <row r="176" spans="1:13" x14ac:dyDescent="0.15">
      <c r="A176" t="s">
        <v>3275</v>
      </c>
      <c r="B176">
        <v>359</v>
      </c>
      <c r="C176">
        <v>975</v>
      </c>
      <c r="D176">
        <v>2007</v>
      </c>
      <c r="E176">
        <v>5475</v>
      </c>
      <c r="F176">
        <v>310</v>
      </c>
      <c r="G176">
        <v>737</v>
      </c>
      <c r="H176" t="s">
        <v>558</v>
      </c>
      <c r="I176" t="s">
        <v>559</v>
      </c>
      <c r="J176" s="672" t="s">
        <v>2468</v>
      </c>
      <c r="K176">
        <f t="shared" si="9"/>
        <v>0</v>
      </c>
      <c r="L176">
        <f t="shared" si="10"/>
        <v>167</v>
      </c>
      <c r="M176">
        <f t="shared" si="11"/>
        <v>216</v>
      </c>
    </row>
    <row r="177" spans="1:14" x14ac:dyDescent="0.15">
      <c r="A177" t="s">
        <v>560</v>
      </c>
      <c r="B177">
        <v>169</v>
      </c>
      <c r="C177">
        <v>900</v>
      </c>
      <c r="D177">
        <v>1108</v>
      </c>
      <c r="E177">
        <v>7169</v>
      </c>
      <c r="F177" t="s">
        <v>561</v>
      </c>
      <c r="G177">
        <v>392</v>
      </c>
      <c r="H177" t="s">
        <v>562</v>
      </c>
      <c r="I177" t="s">
        <v>563</v>
      </c>
      <c r="J177" t="e">
        <v>#N/A</v>
      </c>
      <c r="K177" t="e">
        <f t="shared" si="9"/>
        <v>#N/A</v>
      </c>
      <c r="L177" t="e">
        <f t="shared" si="10"/>
        <v>#N/A</v>
      </c>
      <c r="M177" t="e">
        <f t="shared" si="11"/>
        <v>#N/A</v>
      </c>
    </row>
    <row r="178" spans="1:14" x14ac:dyDescent="0.15">
      <c r="A178" t="s">
        <v>3276</v>
      </c>
      <c r="B178" t="s">
        <v>564</v>
      </c>
      <c r="C178">
        <v>905</v>
      </c>
      <c r="D178">
        <v>1109</v>
      </c>
      <c r="E178">
        <v>7168</v>
      </c>
      <c r="F178">
        <v>374</v>
      </c>
      <c r="G178">
        <v>391</v>
      </c>
      <c r="H178" t="s">
        <v>565</v>
      </c>
      <c r="I178" t="s">
        <v>566</v>
      </c>
      <c r="J178" s="678" t="s">
        <v>2480</v>
      </c>
      <c r="L178">
        <f>HEX2DEC(MID(J178,2,2))</f>
        <v>215</v>
      </c>
      <c r="M178">
        <f>HEX2DEC(MID(J178,4,2))</f>
        <v>8</v>
      </c>
      <c r="N178">
        <f>HEX2DEC(MID(J178,6,2))</f>
        <v>178</v>
      </c>
    </row>
    <row r="179" spans="1:14" x14ac:dyDescent="0.15">
      <c r="A179" t="s">
        <v>3277</v>
      </c>
      <c r="B179">
        <v>175</v>
      </c>
      <c r="C179">
        <v>888</v>
      </c>
      <c r="D179">
        <v>909</v>
      </c>
      <c r="E179">
        <v>7021</v>
      </c>
      <c r="F179">
        <v>2212</v>
      </c>
      <c r="G179">
        <v>363</v>
      </c>
      <c r="H179" t="s">
        <v>567</v>
      </c>
      <c r="I179" t="s">
        <v>568</v>
      </c>
      <c r="J179" s="680" t="s">
        <v>2484</v>
      </c>
      <c r="K179">
        <f t="shared" si="9"/>
        <v>225</v>
      </c>
      <c r="L179">
        <f t="shared" si="10"/>
        <v>228</v>
      </c>
      <c r="M179">
        <f t="shared" si="11"/>
        <v>0</v>
      </c>
    </row>
    <row r="180" spans="1:14" x14ac:dyDescent="0.15">
      <c r="A180" t="s">
        <v>3278</v>
      </c>
      <c r="B180" t="s">
        <v>569</v>
      </c>
      <c r="C180">
        <v>984</v>
      </c>
      <c r="D180">
        <v>1013</v>
      </c>
      <c r="E180">
        <v>7161</v>
      </c>
      <c r="F180" t="s">
        <v>570</v>
      </c>
      <c r="G180">
        <v>303</v>
      </c>
      <c r="H180" t="s">
        <v>571</v>
      </c>
      <c r="I180" t="s">
        <v>572</v>
      </c>
      <c r="J180" s="684" t="s">
        <v>2492</v>
      </c>
      <c r="K180">
        <f t="shared" si="9"/>
        <v>234</v>
      </c>
      <c r="L180">
        <f t="shared" si="10"/>
        <v>18</v>
      </c>
      <c r="M180">
        <f t="shared" si="11"/>
        <v>175</v>
      </c>
    </row>
    <row r="181" spans="1:14" x14ac:dyDescent="0.15">
      <c r="A181" t="s">
        <v>3279</v>
      </c>
      <c r="B181">
        <v>45</v>
      </c>
      <c r="C181">
        <v>857</v>
      </c>
      <c r="D181">
        <v>5014</v>
      </c>
      <c r="E181">
        <v>3044</v>
      </c>
      <c r="F181">
        <v>246</v>
      </c>
      <c r="G181">
        <v>196</v>
      </c>
      <c r="H181" t="s">
        <v>573</v>
      </c>
      <c r="I181" t="s">
        <v>574</v>
      </c>
      <c r="J181" s="685" t="s">
        <v>2494</v>
      </c>
      <c r="K181">
        <f t="shared" si="9"/>
        <v>126</v>
      </c>
      <c r="L181">
        <f t="shared" si="10"/>
        <v>96</v>
      </c>
      <c r="M181">
        <f t="shared" si="11"/>
        <v>206</v>
      </c>
    </row>
    <row r="182" spans="1:14" x14ac:dyDescent="0.15">
      <c r="A182" t="s">
        <v>3280</v>
      </c>
      <c r="B182" t="s">
        <v>575</v>
      </c>
      <c r="C182">
        <v>849</v>
      </c>
      <c r="D182">
        <v>513</v>
      </c>
      <c r="E182">
        <v>3000</v>
      </c>
      <c r="F182">
        <v>245</v>
      </c>
      <c r="G182">
        <v>194</v>
      </c>
      <c r="H182" t="s">
        <v>576</v>
      </c>
      <c r="I182" t="s">
        <v>577</v>
      </c>
      <c r="J182" t="e">
        <v>#N/A</v>
      </c>
    </row>
    <row r="183" spans="1:14" x14ac:dyDescent="0.15">
      <c r="A183" t="s">
        <v>3281</v>
      </c>
      <c r="B183" t="s">
        <v>578</v>
      </c>
      <c r="C183">
        <v>846</v>
      </c>
      <c r="D183">
        <v>512</v>
      </c>
      <c r="E183">
        <v>3410</v>
      </c>
      <c r="F183" t="s">
        <v>69</v>
      </c>
      <c r="G183" t="s">
        <v>69</v>
      </c>
      <c r="H183" t="s">
        <v>579</v>
      </c>
      <c r="I183" t="s">
        <v>580</v>
      </c>
      <c r="J183" t="e">
        <v>#N/A</v>
      </c>
    </row>
    <row r="184" spans="1:14" x14ac:dyDescent="0.15">
      <c r="A184" t="s">
        <v>3282</v>
      </c>
      <c r="B184">
        <v>13</v>
      </c>
      <c r="C184">
        <v>845</v>
      </c>
      <c r="D184">
        <v>211</v>
      </c>
      <c r="E184">
        <v>2335</v>
      </c>
      <c r="F184">
        <v>346</v>
      </c>
      <c r="G184">
        <v>190</v>
      </c>
      <c r="H184" t="s">
        <v>581</v>
      </c>
      <c r="I184" t="s">
        <v>582</v>
      </c>
      <c r="J184" t="e">
        <v>#N/A</v>
      </c>
    </row>
    <row r="185" spans="1:14" x14ac:dyDescent="0.15">
      <c r="A185" t="s">
        <v>3283</v>
      </c>
      <c r="B185">
        <v>48</v>
      </c>
      <c r="C185">
        <v>840</v>
      </c>
      <c r="D185">
        <v>502</v>
      </c>
      <c r="E185">
        <v>3281</v>
      </c>
      <c r="F185" t="s">
        <v>583</v>
      </c>
      <c r="G185" t="s">
        <v>305</v>
      </c>
      <c r="H185" t="s">
        <v>584</v>
      </c>
      <c r="I185" t="s">
        <v>585</v>
      </c>
      <c r="J185" t="e">
        <v>#N/A</v>
      </c>
    </row>
    <row r="186" spans="1:14" x14ac:dyDescent="0.15">
      <c r="A186" t="s">
        <v>3284</v>
      </c>
      <c r="B186">
        <v>271</v>
      </c>
      <c r="C186">
        <v>823</v>
      </c>
      <c r="D186">
        <v>501</v>
      </c>
      <c r="E186">
        <v>3280</v>
      </c>
      <c r="F186" t="s">
        <v>586</v>
      </c>
      <c r="G186">
        <v>111</v>
      </c>
      <c r="H186" t="s">
        <v>587</v>
      </c>
      <c r="I186" t="s">
        <v>588</v>
      </c>
      <c r="J186" t="e">
        <v>#N/A</v>
      </c>
    </row>
    <row r="187" spans="1:14" x14ac:dyDescent="0.15">
      <c r="A187" t="s">
        <v>3285</v>
      </c>
      <c r="B187" t="s">
        <v>589</v>
      </c>
      <c r="C187">
        <v>884</v>
      </c>
      <c r="D187">
        <v>914</v>
      </c>
      <c r="E187">
        <v>7024</v>
      </c>
      <c r="F187">
        <v>217</v>
      </c>
      <c r="G187">
        <v>368</v>
      </c>
      <c r="H187" t="s">
        <v>590</v>
      </c>
      <c r="I187" t="s">
        <v>591</v>
      </c>
      <c r="J187" t="e">
        <v>#N/A</v>
      </c>
    </row>
    <row r="188" spans="1:14" x14ac:dyDescent="0.15">
      <c r="A188" t="s">
        <v>3286</v>
      </c>
      <c r="B188">
        <v>390</v>
      </c>
      <c r="C188">
        <v>981</v>
      </c>
      <c r="D188">
        <v>1908</v>
      </c>
      <c r="E188">
        <v>5830</v>
      </c>
      <c r="F188">
        <v>365</v>
      </c>
      <c r="G188">
        <v>810</v>
      </c>
      <c r="H188" t="s">
        <v>592</v>
      </c>
      <c r="I188" t="s">
        <v>593</v>
      </c>
      <c r="J188" t="e">
        <v>#N/A</v>
      </c>
    </row>
    <row r="189" spans="1:14" x14ac:dyDescent="0.15">
      <c r="A189" t="s">
        <v>3287</v>
      </c>
      <c r="B189">
        <v>127</v>
      </c>
      <c r="C189">
        <v>885</v>
      </c>
      <c r="D189">
        <v>1008</v>
      </c>
      <c r="E189">
        <v>7982</v>
      </c>
      <c r="F189" t="s">
        <v>594</v>
      </c>
      <c r="G189">
        <v>358</v>
      </c>
      <c r="H189" t="s">
        <v>595</v>
      </c>
      <c r="I189" t="s">
        <v>596</v>
      </c>
      <c r="J189" t="e">
        <v>#N/A</v>
      </c>
    </row>
    <row r="190" spans="1:14" x14ac:dyDescent="0.15">
      <c r="A190" t="s">
        <v>3288</v>
      </c>
      <c r="B190" t="s">
        <v>597</v>
      </c>
      <c r="C190">
        <v>891</v>
      </c>
      <c r="D190">
        <v>1010</v>
      </c>
      <c r="E190">
        <v>7182</v>
      </c>
      <c r="F190">
        <v>255</v>
      </c>
      <c r="G190">
        <v>307</v>
      </c>
      <c r="H190" t="s">
        <v>598</v>
      </c>
      <c r="I190" t="s">
        <v>599</v>
      </c>
      <c r="J190" t="e">
        <v>#N/A</v>
      </c>
    </row>
    <row r="191" spans="1:14" x14ac:dyDescent="0.15">
      <c r="A191" t="s">
        <v>3289</v>
      </c>
      <c r="B191">
        <v>142</v>
      </c>
      <c r="C191">
        <v>896</v>
      </c>
      <c r="D191">
        <v>1011</v>
      </c>
      <c r="E191">
        <v>7181</v>
      </c>
      <c r="F191">
        <v>255</v>
      </c>
      <c r="G191">
        <v>305</v>
      </c>
      <c r="H191" t="s">
        <v>600</v>
      </c>
      <c r="I191" t="s">
        <v>601</v>
      </c>
      <c r="J191" t="e">
        <v>#N/A</v>
      </c>
    </row>
    <row r="192" spans="1:14" x14ac:dyDescent="0.15">
      <c r="A192" t="s">
        <v>3290</v>
      </c>
      <c r="B192">
        <v>161</v>
      </c>
      <c r="C192">
        <v>895</v>
      </c>
      <c r="D192">
        <v>1012</v>
      </c>
      <c r="E192">
        <v>7180</v>
      </c>
      <c r="F192">
        <v>254</v>
      </c>
      <c r="G192">
        <v>304</v>
      </c>
      <c r="H192" t="s">
        <v>602</v>
      </c>
      <c r="I192" t="s">
        <v>603</v>
      </c>
      <c r="J192" t="e">
        <v>#N/A</v>
      </c>
    </row>
    <row r="193" spans="1:10" x14ac:dyDescent="0.15">
      <c r="A193" t="s">
        <v>3291</v>
      </c>
      <c r="B193" t="s">
        <v>604</v>
      </c>
      <c r="C193">
        <v>893</v>
      </c>
      <c r="D193">
        <v>1014</v>
      </c>
      <c r="E193">
        <v>7159</v>
      </c>
      <c r="F193" t="s">
        <v>605</v>
      </c>
      <c r="G193">
        <v>302</v>
      </c>
      <c r="H193" t="s">
        <v>606</v>
      </c>
      <c r="I193" t="s">
        <v>607</v>
      </c>
      <c r="J193" t="e">
        <v>#N/A</v>
      </c>
    </row>
    <row r="194" spans="1:10" x14ac:dyDescent="0.15">
      <c r="A194" t="s">
        <v>3292</v>
      </c>
      <c r="B194" t="s">
        <v>608</v>
      </c>
      <c r="C194">
        <v>892</v>
      </c>
      <c r="D194">
        <v>1101</v>
      </c>
      <c r="E194">
        <v>7053</v>
      </c>
      <c r="F194" t="s">
        <v>609</v>
      </c>
      <c r="G194">
        <v>383</v>
      </c>
      <c r="H194" t="s">
        <v>610</v>
      </c>
      <c r="I194" t="s">
        <v>611</v>
      </c>
      <c r="J194" t="e">
        <v>#N/A</v>
      </c>
    </row>
    <row r="195" spans="1:10" x14ac:dyDescent="0.15">
      <c r="A195" t="s">
        <v>3293</v>
      </c>
      <c r="B195">
        <v>906</v>
      </c>
      <c r="C195">
        <v>956</v>
      </c>
      <c r="D195">
        <v>2113</v>
      </c>
      <c r="E195">
        <v>5889</v>
      </c>
      <c r="F195">
        <v>775</v>
      </c>
      <c r="G195">
        <v>845</v>
      </c>
      <c r="H195" t="s">
        <v>612</v>
      </c>
      <c r="I195" t="s">
        <v>613</v>
      </c>
      <c r="J195" t="e">
        <v>#N/A</v>
      </c>
    </row>
    <row r="196" spans="1:10" x14ac:dyDescent="0.15">
      <c r="A196" t="s">
        <v>3294</v>
      </c>
      <c r="B196">
        <v>277</v>
      </c>
      <c r="C196">
        <v>956</v>
      </c>
      <c r="D196">
        <v>2114</v>
      </c>
      <c r="E196">
        <v>5374</v>
      </c>
      <c r="F196" t="s">
        <v>614</v>
      </c>
      <c r="G196">
        <v>565</v>
      </c>
      <c r="H196" t="s">
        <v>615</v>
      </c>
      <c r="I196" t="s">
        <v>616</v>
      </c>
      <c r="J196" t="e">
        <v>#N/A</v>
      </c>
    </row>
    <row r="197" spans="1:10" x14ac:dyDescent="0.15">
      <c r="A197" t="s">
        <v>3295</v>
      </c>
      <c r="B197">
        <v>277</v>
      </c>
      <c r="C197">
        <v>955</v>
      </c>
      <c r="D197">
        <v>2201</v>
      </c>
      <c r="E197" t="s">
        <v>69</v>
      </c>
      <c r="F197" t="s">
        <v>617</v>
      </c>
      <c r="G197">
        <v>565</v>
      </c>
      <c r="H197" t="s">
        <v>618</v>
      </c>
      <c r="I197" t="s">
        <v>619</v>
      </c>
      <c r="J197" t="e">
        <v>#N/A</v>
      </c>
    </row>
    <row r="198" spans="1:10" x14ac:dyDescent="0.15">
      <c r="A198" t="s">
        <v>3296</v>
      </c>
      <c r="B198">
        <v>907</v>
      </c>
      <c r="C198">
        <v>955</v>
      </c>
      <c r="D198">
        <v>2202</v>
      </c>
      <c r="E198" t="s">
        <v>69</v>
      </c>
      <c r="F198" t="s">
        <v>620</v>
      </c>
      <c r="G198">
        <v>563</v>
      </c>
      <c r="H198" t="s">
        <v>621</v>
      </c>
      <c r="I198" t="s">
        <v>622</v>
      </c>
      <c r="J198" t="e">
        <v>#N/A</v>
      </c>
    </row>
    <row r="199" spans="1:10" x14ac:dyDescent="0.15">
      <c r="A199" t="s">
        <v>3297</v>
      </c>
      <c r="B199">
        <v>907</v>
      </c>
      <c r="C199">
        <v>955</v>
      </c>
      <c r="D199">
        <v>2203</v>
      </c>
      <c r="E199">
        <v>2412</v>
      </c>
      <c r="F199" t="s">
        <v>623</v>
      </c>
      <c r="G199">
        <v>562</v>
      </c>
      <c r="H199" t="s">
        <v>624</v>
      </c>
      <c r="I199" t="s">
        <v>625</v>
      </c>
      <c r="J199" t="e">
        <v>#N/A</v>
      </c>
    </row>
    <row r="200" spans="1:10" x14ac:dyDescent="0.15">
      <c r="A200" t="s">
        <v>3298</v>
      </c>
      <c r="B200" t="s">
        <v>626</v>
      </c>
      <c r="C200">
        <v>954</v>
      </c>
      <c r="D200">
        <v>2204</v>
      </c>
      <c r="E200" t="s">
        <v>69</v>
      </c>
      <c r="F200">
        <v>772</v>
      </c>
      <c r="G200">
        <v>562</v>
      </c>
      <c r="H200" t="s">
        <v>627</v>
      </c>
      <c r="I200" t="s">
        <v>628</v>
      </c>
      <c r="J200" t="e">
        <v>#N/A</v>
      </c>
    </row>
    <row r="201" spans="1:10" x14ac:dyDescent="0.15">
      <c r="A201" t="s">
        <v>3299</v>
      </c>
      <c r="B201" t="s">
        <v>629</v>
      </c>
      <c r="C201">
        <v>976</v>
      </c>
      <c r="D201">
        <v>1914</v>
      </c>
      <c r="E201">
        <v>5381</v>
      </c>
      <c r="F201" t="s">
        <v>630</v>
      </c>
      <c r="G201">
        <v>778</v>
      </c>
      <c r="H201" t="s">
        <v>631</v>
      </c>
      <c r="I201" t="s">
        <v>632</v>
      </c>
      <c r="J201" t="e">
        <v>#N/A</v>
      </c>
    </row>
    <row r="202" spans="1:10" x14ac:dyDescent="0.15">
      <c r="A202" t="s">
        <v>3300</v>
      </c>
      <c r="B202">
        <v>1086</v>
      </c>
      <c r="C202">
        <v>976</v>
      </c>
      <c r="D202">
        <v>1913</v>
      </c>
      <c r="E202">
        <v>5360</v>
      </c>
      <c r="F202" t="s">
        <v>633</v>
      </c>
      <c r="G202">
        <v>745</v>
      </c>
      <c r="H202" t="s">
        <v>634</v>
      </c>
      <c r="I202" t="s">
        <v>635</v>
      </c>
      <c r="J202" t="e">
        <v>#N/A</v>
      </c>
    </row>
    <row r="203" spans="1:10" x14ac:dyDescent="0.15">
      <c r="A203" t="s">
        <v>3301</v>
      </c>
      <c r="B203" t="s">
        <v>636</v>
      </c>
      <c r="C203">
        <v>980</v>
      </c>
      <c r="D203">
        <v>1912</v>
      </c>
      <c r="E203">
        <v>5379</v>
      </c>
      <c r="F203">
        <v>384</v>
      </c>
      <c r="G203">
        <v>744</v>
      </c>
      <c r="H203" t="s">
        <v>637</v>
      </c>
      <c r="I203" t="s">
        <v>638</v>
      </c>
      <c r="J203" t="e">
        <v>#N/A</v>
      </c>
    </row>
    <row r="204" spans="1:10" x14ac:dyDescent="0.15">
      <c r="A204" t="s">
        <v>3302</v>
      </c>
      <c r="B204" t="s">
        <v>639</v>
      </c>
      <c r="C204">
        <v>979</v>
      </c>
      <c r="D204">
        <v>1911</v>
      </c>
      <c r="E204">
        <v>5376</v>
      </c>
      <c r="F204" t="s">
        <v>640</v>
      </c>
      <c r="G204">
        <v>743</v>
      </c>
      <c r="H204" t="s">
        <v>641</v>
      </c>
      <c r="I204" t="s">
        <v>642</v>
      </c>
      <c r="J204" t="e">
        <v>#N/A</v>
      </c>
    </row>
    <row r="205" spans="1:10" x14ac:dyDescent="0.15">
      <c r="A205" t="s">
        <v>3303</v>
      </c>
      <c r="B205" t="s">
        <v>643</v>
      </c>
      <c r="C205">
        <v>978</v>
      </c>
      <c r="D205">
        <v>1910</v>
      </c>
      <c r="E205">
        <v>5933</v>
      </c>
      <c r="F205" t="s">
        <v>644</v>
      </c>
      <c r="G205">
        <v>741</v>
      </c>
      <c r="H205" t="s">
        <v>645</v>
      </c>
      <c r="I205" t="s">
        <v>646</v>
      </c>
      <c r="J205" t="e">
        <v>#N/A</v>
      </c>
    </row>
    <row r="206" spans="1:10" x14ac:dyDescent="0.15">
      <c r="A206" t="s">
        <v>3304</v>
      </c>
      <c r="B206">
        <v>1041</v>
      </c>
      <c r="C206">
        <v>988</v>
      </c>
      <c r="D206">
        <v>1810</v>
      </c>
      <c r="E206">
        <v>8501</v>
      </c>
      <c r="F206">
        <v>895</v>
      </c>
      <c r="G206">
        <v>415</v>
      </c>
      <c r="H206" t="s">
        <v>647</v>
      </c>
      <c r="I206" t="s">
        <v>648</v>
      </c>
      <c r="J206" t="e">
        <v>#N/A</v>
      </c>
    </row>
    <row r="207" spans="1:10" x14ac:dyDescent="0.15">
      <c r="A207" t="s">
        <v>3305</v>
      </c>
      <c r="B207" t="s">
        <v>649</v>
      </c>
      <c r="C207">
        <v>973</v>
      </c>
      <c r="D207">
        <v>2105</v>
      </c>
      <c r="E207">
        <v>5374</v>
      </c>
      <c r="F207">
        <v>575</v>
      </c>
      <c r="G207">
        <v>737</v>
      </c>
      <c r="H207" t="s">
        <v>650</v>
      </c>
      <c r="I207" t="s">
        <v>651</v>
      </c>
      <c r="J207" t="e">
        <v>#N/A</v>
      </c>
    </row>
    <row r="208" spans="1:10" x14ac:dyDescent="0.15">
      <c r="A208" t="s">
        <v>3306</v>
      </c>
      <c r="B208">
        <v>683</v>
      </c>
      <c r="C208">
        <v>918</v>
      </c>
      <c r="D208">
        <v>1314</v>
      </c>
      <c r="E208">
        <v>6021</v>
      </c>
      <c r="F208" t="s">
        <v>652</v>
      </c>
      <c r="G208">
        <v>247</v>
      </c>
      <c r="H208" t="s">
        <v>653</v>
      </c>
      <c r="I208" t="s">
        <v>654</v>
      </c>
      <c r="J208" t="e">
        <v>#N/A</v>
      </c>
    </row>
    <row r="209" spans="1:10" x14ac:dyDescent="0.15">
      <c r="A209" t="s">
        <v>3307</v>
      </c>
      <c r="B209" t="s">
        <v>655</v>
      </c>
      <c r="C209">
        <v>844</v>
      </c>
      <c r="D209">
        <v>411</v>
      </c>
      <c r="E209">
        <v>3012</v>
      </c>
      <c r="F209" t="s">
        <v>656</v>
      </c>
      <c r="G209">
        <v>156</v>
      </c>
      <c r="H209" t="s">
        <v>657</v>
      </c>
      <c r="I209" t="s">
        <v>658</v>
      </c>
      <c r="J209" t="e">
        <v>#N/A</v>
      </c>
    </row>
    <row r="210" spans="1:10" x14ac:dyDescent="0.15">
      <c r="A210" t="s">
        <v>3308</v>
      </c>
      <c r="B210">
        <v>28</v>
      </c>
      <c r="C210">
        <v>836</v>
      </c>
      <c r="D210">
        <v>412</v>
      </c>
      <c r="E210">
        <v>3152</v>
      </c>
      <c r="F210">
        <v>206</v>
      </c>
      <c r="G210">
        <v>155</v>
      </c>
      <c r="H210" t="s">
        <v>659</v>
      </c>
      <c r="I210" t="s">
        <v>660</v>
      </c>
      <c r="J210" t="e">
        <v>#N/A</v>
      </c>
    </row>
    <row r="211" spans="1:10" x14ac:dyDescent="0.15">
      <c r="A211" t="s">
        <v>3309</v>
      </c>
      <c r="B211" t="s">
        <v>661</v>
      </c>
      <c r="C211">
        <v>843</v>
      </c>
      <c r="D211">
        <v>413</v>
      </c>
      <c r="E211">
        <v>3152</v>
      </c>
      <c r="F211" t="s">
        <v>662</v>
      </c>
      <c r="G211" t="s">
        <v>663</v>
      </c>
      <c r="H211" t="s">
        <v>664</v>
      </c>
      <c r="I211" t="s">
        <v>665</v>
      </c>
      <c r="J211" t="e">
        <v>#N/A</v>
      </c>
    </row>
    <row r="212" spans="1:10" x14ac:dyDescent="0.15">
      <c r="A212" t="s">
        <v>3310</v>
      </c>
      <c r="B212">
        <v>26</v>
      </c>
      <c r="C212">
        <v>843</v>
      </c>
      <c r="D212">
        <v>414</v>
      </c>
      <c r="E212">
        <v>3127</v>
      </c>
      <c r="F212">
        <v>203</v>
      </c>
      <c r="G212" t="s">
        <v>666</v>
      </c>
      <c r="H212" t="s">
        <v>667</v>
      </c>
      <c r="I212" t="s">
        <v>668</v>
      </c>
      <c r="J212" t="e">
        <v>#N/A</v>
      </c>
    </row>
    <row r="213" spans="1:10" x14ac:dyDescent="0.15">
      <c r="A213" t="s">
        <v>3311</v>
      </c>
      <c r="B213">
        <v>1044</v>
      </c>
      <c r="C213">
        <v>918</v>
      </c>
      <c r="D213">
        <v>1405</v>
      </c>
      <c r="E213">
        <v>6021</v>
      </c>
      <c r="F213">
        <v>121</v>
      </c>
      <c r="G213">
        <v>247</v>
      </c>
      <c r="H213" t="s">
        <v>669</v>
      </c>
      <c r="I213" t="s">
        <v>670</v>
      </c>
      <c r="J213" t="e">
        <v>#N/A</v>
      </c>
    </row>
    <row r="214" spans="1:10" x14ac:dyDescent="0.15">
      <c r="A214" t="s">
        <v>3312</v>
      </c>
      <c r="B214">
        <v>360</v>
      </c>
      <c r="C214">
        <v>976</v>
      </c>
      <c r="D214">
        <v>2006</v>
      </c>
      <c r="E214">
        <v>5476</v>
      </c>
      <c r="F214">
        <v>2311</v>
      </c>
      <c r="G214">
        <v>738</v>
      </c>
      <c r="H214" t="s">
        <v>671</v>
      </c>
      <c r="I214" t="s">
        <v>672</v>
      </c>
      <c r="J214" t="e">
        <v>#N/A</v>
      </c>
    </row>
    <row r="215" spans="1:10" x14ac:dyDescent="0.15">
      <c r="A215" t="s">
        <v>3313</v>
      </c>
      <c r="B215">
        <v>52</v>
      </c>
      <c r="C215">
        <v>851</v>
      </c>
      <c r="D215">
        <v>505</v>
      </c>
      <c r="E215">
        <v>3282</v>
      </c>
      <c r="F215">
        <v>2105</v>
      </c>
      <c r="G215">
        <v>1119</v>
      </c>
      <c r="H215" t="s">
        <v>673</v>
      </c>
      <c r="I215" t="s">
        <v>674</v>
      </c>
      <c r="J215" t="e">
        <v>#N/A</v>
      </c>
    </row>
    <row r="216" spans="1:10" x14ac:dyDescent="0.15">
      <c r="A216" t="s">
        <v>3314</v>
      </c>
      <c r="B216">
        <v>333</v>
      </c>
      <c r="C216">
        <v>831</v>
      </c>
      <c r="D216">
        <v>208</v>
      </c>
      <c r="E216">
        <v>2329</v>
      </c>
      <c r="F216" t="s">
        <v>675</v>
      </c>
      <c r="G216">
        <v>175</v>
      </c>
      <c r="H216" t="s">
        <v>676</v>
      </c>
      <c r="I216" t="s">
        <v>677</v>
      </c>
      <c r="J216" t="e">
        <v>#N/A</v>
      </c>
    </row>
    <row r="217" spans="1:10" x14ac:dyDescent="0.15">
      <c r="A217" t="s">
        <v>3315</v>
      </c>
      <c r="B217">
        <v>897</v>
      </c>
      <c r="C217">
        <v>857</v>
      </c>
      <c r="D217">
        <v>601</v>
      </c>
      <c r="E217">
        <v>3083</v>
      </c>
      <c r="F217">
        <v>226</v>
      </c>
      <c r="G217">
        <v>198</v>
      </c>
      <c r="H217" t="s">
        <v>678</v>
      </c>
      <c r="I217" t="s">
        <v>679</v>
      </c>
      <c r="J217" t="e">
        <v>#N/A</v>
      </c>
    </row>
    <row r="218" spans="1:10" x14ac:dyDescent="0.15">
      <c r="A218" t="s">
        <v>3316</v>
      </c>
      <c r="B218">
        <v>258</v>
      </c>
      <c r="C218">
        <v>934</v>
      </c>
      <c r="D218">
        <v>1413</v>
      </c>
      <c r="E218">
        <v>6258</v>
      </c>
      <c r="F218" t="s">
        <v>680</v>
      </c>
      <c r="G218">
        <v>276</v>
      </c>
      <c r="H218" t="s">
        <v>681</v>
      </c>
      <c r="I218" t="s">
        <v>682</v>
      </c>
      <c r="J218" t="e">
        <v>#N/A</v>
      </c>
    </row>
    <row r="219" spans="1:10" x14ac:dyDescent="0.15">
      <c r="A219" t="s">
        <v>3317</v>
      </c>
      <c r="B219">
        <v>257</v>
      </c>
      <c r="C219">
        <v>934</v>
      </c>
      <c r="D219">
        <v>1412</v>
      </c>
      <c r="E219">
        <v>6267</v>
      </c>
      <c r="F219">
        <v>327</v>
      </c>
      <c r="G219">
        <v>276</v>
      </c>
      <c r="H219" t="s">
        <v>683</v>
      </c>
      <c r="I219" t="s">
        <v>684</v>
      </c>
      <c r="J219" t="e">
        <v>#N/A</v>
      </c>
    </row>
    <row r="220" spans="1:10" x14ac:dyDescent="0.15">
      <c r="A220" t="s">
        <v>3318</v>
      </c>
      <c r="B220">
        <v>256</v>
      </c>
      <c r="C220">
        <v>942</v>
      </c>
      <c r="D220">
        <v>1411</v>
      </c>
      <c r="E220">
        <v>6256</v>
      </c>
      <c r="F220">
        <v>326</v>
      </c>
      <c r="G220">
        <v>275</v>
      </c>
      <c r="H220" t="s">
        <v>685</v>
      </c>
      <c r="I220" t="s">
        <v>686</v>
      </c>
      <c r="J220" t="e">
        <v>#N/A</v>
      </c>
    </row>
    <row r="221" spans="1:10" x14ac:dyDescent="0.15">
      <c r="A221" t="s">
        <v>3319</v>
      </c>
      <c r="B221">
        <v>255</v>
      </c>
      <c r="C221">
        <v>941</v>
      </c>
      <c r="D221">
        <v>1410</v>
      </c>
      <c r="E221">
        <v>6001</v>
      </c>
      <c r="F221">
        <v>325</v>
      </c>
      <c r="G221">
        <v>274</v>
      </c>
      <c r="H221" t="s">
        <v>687</v>
      </c>
      <c r="I221" t="s">
        <v>688</v>
      </c>
      <c r="J221" t="e">
        <v>#N/A</v>
      </c>
    </row>
    <row r="222" spans="1:10" x14ac:dyDescent="0.15">
      <c r="A222" t="s">
        <v>3320</v>
      </c>
      <c r="B222">
        <v>230</v>
      </c>
      <c r="C222">
        <v>914</v>
      </c>
      <c r="D222">
        <v>1302</v>
      </c>
      <c r="E222">
        <v>6228</v>
      </c>
      <c r="F222">
        <v>338</v>
      </c>
      <c r="G222">
        <v>265</v>
      </c>
      <c r="H222" t="s">
        <v>689</v>
      </c>
      <c r="I222" t="s">
        <v>690</v>
      </c>
      <c r="J222" t="e">
        <v>#N/A</v>
      </c>
    </row>
    <row r="223" spans="1:10" x14ac:dyDescent="0.15">
      <c r="A223" t="s">
        <v>3321</v>
      </c>
      <c r="B223" t="s">
        <v>691</v>
      </c>
      <c r="C223">
        <v>913</v>
      </c>
      <c r="D223">
        <v>1301</v>
      </c>
      <c r="E223">
        <v>6031</v>
      </c>
      <c r="F223">
        <v>338</v>
      </c>
      <c r="G223">
        <v>200</v>
      </c>
      <c r="H223" t="s">
        <v>692</v>
      </c>
      <c r="I223" t="s">
        <v>693</v>
      </c>
      <c r="J223" t="e">
        <v>#N/A</v>
      </c>
    </row>
    <row r="224" spans="1:10" x14ac:dyDescent="0.15">
      <c r="A224" t="s">
        <v>3322</v>
      </c>
      <c r="B224">
        <v>205</v>
      </c>
      <c r="C224">
        <v>913</v>
      </c>
      <c r="D224">
        <v>1214</v>
      </c>
      <c r="E224">
        <v>6205</v>
      </c>
      <c r="F224">
        <v>337</v>
      </c>
      <c r="G224">
        <v>264</v>
      </c>
      <c r="H224" t="s">
        <v>694</v>
      </c>
      <c r="I224" t="s">
        <v>695</v>
      </c>
      <c r="J224" t="e">
        <v>#N/A</v>
      </c>
    </row>
    <row r="225" spans="1:10" x14ac:dyDescent="0.15">
      <c r="A225" t="s">
        <v>3323</v>
      </c>
      <c r="B225">
        <v>209</v>
      </c>
      <c r="C225">
        <v>913</v>
      </c>
      <c r="D225">
        <v>1213</v>
      </c>
      <c r="E225">
        <v>6205</v>
      </c>
      <c r="F225">
        <v>336</v>
      </c>
      <c r="G225">
        <v>263</v>
      </c>
      <c r="H225" t="s">
        <v>696</v>
      </c>
      <c r="I225" t="s">
        <v>697</v>
      </c>
      <c r="J225" t="e">
        <v>#N/A</v>
      </c>
    </row>
    <row r="226" spans="1:10" x14ac:dyDescent="0.15">
      <c r="A226" t="s">
        <v>3324</v>
      </c>
      <c r="B226">
        <v>204</v>
      </c>
      <c r="C226">
        <v>912</v>
      </c>
      <c r="D226">
        <v>1212</v>
      </c>
      <c r="E226">
        <v>6225</v>
      </c>
      <c r="F226">
        <v>335</v>
      </c>
      <c r="G226">
        <v>263</v>
      </c>
      <c r="H226" t="s">
        <v>698</v>
      </c>
      <c r="I226" t="s">
        <v>699</v>
      </c>
      <c r="J226" t="e">
        <v>#N/A</v>
      </c>
    </row>
    <row r="227" spans="1:10" x14ac:dyDescent="0.15">
      <c r="A227" t="s">
        <v>3325</v>
      </c>
      <c r="B227">
        <v>1029</v>
      </c>
      <c r="C227">
        <v>866</v>
      </c>
      <c r="D227">
        <v>705</v>
      </c>
      <c r="E227" t="s">
        <v>69</v>
      </c>
      <c r="F227">
        <v>486</v>
      </c>
      <c r="G227">
        <v>137</v>
      </c>
      <c r="H227" t="s">
        <v>700</v>
      </c>
      <c r="I227" t="s">
        <v>701</v>
      </c>
      <c r="J227" t="e">
        <v>#N/A</v>
      </c>
    </row>
    <row r="228" spans="1:10" x14ac:dyDescent="0.15">
      <c r="A228" t="s">
        <v>3326</v>
      </c>
      <c r="B228" t="s">
        <v>702</v>
      </c>
      <c r="C228">
        <v>865</v>
      </c>
      <c r="D228">
        <v>706</v>
      </c>
      <c r="E228">
        <v>4089</v>
      </c>
      <c r="F228">
        <v>485</v>
      </c>
      <c r="G228">
        <v>135</v>
      </c>
      <c r="H228" t="s">
        <v>703</v>
      </c>
      <c r="I228" t="s">
        <v>704</v>
      </c>
      <c r="J228" t="e">
        <v>#N/A</v>
      </c>
    </row>
    <row r="229" spans="1:10" x14ac:dyDescent="0.15">
      <c r="A229" t="s">
        <v>3327</v>
      </c>
      <c r="B229" t="s">
        <v>705</v>
      </c>
      <c r="C229">
        <v>971</v>
      </c>
      <c r="D229">
        <v>314</v>
      </c>
      <c r="E229">
        <v>3340</v>
      </c>
      <c r="F229">
        <v>467</v>
      </c>
      <c r="G229">
        <v>769</v>
      </c>
      <c r="H229" t="s">
        <v>706</v>
      </c>
      <c r="I229" t="s">
        <v>707</v>
      </c>
      <c r="J229" t="e">
        <v>#N/A</v>
      </c>
    </row>
    <row r="230" spans="1:10" x14ac:dyDescent="0.15">
      <c r="A230" t="s">
        <v>3328</v>
      </c>
      <c r="B230">
        <v>340</v>
      </c>
      <c r="C230">
        <v>969</v>
      </c>
      <c r="D230">
        <v>313</v>
      </c>
      <c r="E230">
        <v>2326</v>
      </c>
      <c r="F230">
        <v>188</v>
      </c>
      <c r="G230">
        <v>769</v>
      </c>
      <c r="H230" t="s">
        <v>708</v>
      </c>
      <c r="I230" t="s">
        <v>709</v>
      </c>
      <c r="J230" t="e">
        <v>#N/A</v>
      </c>
    </row>
    <row r="231" spans="1:10" x14ac:dyDescent="0.15">
      <c r="A231" t="s">
        <v>3329</v>
      </c>
      <c r="B231" t="s">
        <v>710</v>
      </c>
      <c r="C231">
        <v>970</v>
      </c>
      <c r="D231">
        <v>312</v>
      </c>
      <c r="E231">
        <v>3337</v>
      </c>
      <c r="F231" t="s">
        <v>711</v>
      </c>
      <c r="G231">
        <v>786</v>
      </c>
      <c r="H231" t="s">
        <v>712</v>
      </c>
      <c r="I231" t="s">
        <v>713</v>
      </c>
      <c r="J231" t="e">
        <v>#N/A</v>
      </c>
    </row>
    <row r="232" spans="1:10" x14ac:dyDescent="0.15">
      <c r="A232" t="s">
        <v>3330</v>
      </c>
      <c r="B232">
        <v>884</v>
      </c>
      <c r="C232">
        <v>963</v>
      </c>
      <c r="D232">
        <v>311</v>
      </c>
      <c r="E232">
        <v>3336</v>
      </c>
      <c r="F232" t="s">
        <v>714</v>
      </c>
      <c r="G232">
        <v>784</v>
      </c>
      <c r="H232" t="s">
        <v>715</v>
      </c>
      <c r="I232" t="s">
        <v>716</v>
      </c>
      <c r="J232" t="e">
        <v>#N/A</v>
      </c>
    </row>
    <row r="233" spans="1:10" x14ac:dyDescent="0.15">
      <c r="A233" t="s">
        <v>3331</v>
      </c>
      <c r="B233">
        <v>1003</v>
      </c>
      <c r="C233">
        <v>965</v>
      </c>
      <c r="D233">
        <v>310</v>
      </c>
      <c r="E233">
        <v>3336</v>
      </c>
      <c r="F233" t="s">
        <v>717</v>
      </c>
      <c r="G233">
        <v>783</v>
      </c>
      <c r="H233" t="s">
        <v>718</v>
      </c>
      <c r="I233" t="s">
        <v>719</v>
      </c>
      <c r="J233" t="e">
        <v>#N/A</v>
      </c>
    </row>
    <row r="234" spans="1:10" x14ac:dyDescent="0.15">
      <c r="A234" t="s">
        <v>3332</v>
      </c>
      <c r="B234">
        <v>851</v>
      </c>
      <c r="C234">
        <v>907</v>
      </c>
      <c r="D234">
        <v>1706</v>
      </c>
      <c r="E234">
        <v>6008</v>
      </c>
      <c r="F234" t="s">
        <v>720</v>
      </c>
      <c r="G234">
        <v>344</v>
      </c>
      <c r="H234" t="s">
        <v>721</v>
      </c>
      <c r="I234" t="s">
        <v>722</v>
      </c>
      <c r="J234" t="e">
        <v>#N/A</v>
      </c>
    </row>
    <row r="235" spans="1:10" x14ac:dyDescent="0.15">
      <c r="A235" t="s">
        <v>3333</v>
      </c>
      <c r="B235">
        <v>850</v>
      </c>
      <c r="C235">
        <v>906</v>
      </c>
      <c r="D235">
        <v>1707</v>
      </c>
      <c r="E235">
        <v>6007</v>
      </c>
      <c r="F235">
        <v>982</v>
      </c>
      <c r="G235">
        <v>342</v>
      </c>
      <c r="H235" t="s">
        <v>723</v>
      </c>
      <c r="I235" t="s">
        <v>724</v>
      </c>
      <c r="J235" t="e">
        <v>#N/A</v>
      </c>
    </row>
    <row r="236" spans="1:10" x14ac:dyDescent="0.15">
      <c r="A236" t="s">
        <v>3334</v>
      </c>
      <c r="B236" t="s">
        <v>725</v>
      </c>
      <c r="C236">
        <v>986</v>
      </c>
      <c r="D236">
        <v>1708</v>
      </c>
      <c r="E236">
        <v>6006</v>
      </c>
      <c r="F236">
        <v>981</v>
      </c>
      <c r="G236">
        <v>341</v>
      </c>
      <c r="H236" t="s">
        <v>726</v>
      </c>
      <c r="I236" t="s">
        <v>727</v>
      </c>
      <c r="J236" t="e">
        <v>#N/A</v>
      </c>
    </row>
    <row r="237" spans="1:10" x14ac:dyDescent="0.15">
      <c r="A237" t="s">
        <v>3335</v>
      </c>
      <c r="B237">
        <v>274</v>
      </c>
      <c r="C237">
        <v>985</v>
      </c>
      <c r="D237">
        <v>1709</v>
      </c>
      <c r="E237">
        <v>7225</v>
      </c>
      <c r="F237">
        <v>981</v>
      </c>
      <c r="G237">
        <v>411</v>
      </c>
      <c r="H237" t="s">
        <v>728</v>
      </c>
      <c r="I237" t="s">
        <v>729</v>
      </c>
      <c r="J237" t="e">
        <v>#N/A</v>
      </c>
    </row>
    <row r="238" spans="1:10" x14ac:dyDescent="0.15">
      <c r="A238" t="s">
        <v>3336</v>
      </c>
      <c r="B238" t="s">
        <v>730</v>
      </c>
      <c r="C238">
        <v>897</v>
      </c>
      <c r="D238">
        <v>1712</v>
      </c>
      <c r="E238">
        <v>7052</v>
      </c>
      <c r="F238">
        <v>734</v>
      </c>
      <c r="G238">
        <v>316</v>
      </c>
      <c r="H238" t="s">
        <v>731</v>
      </c>
      <c r="I238" t="s">
        <v>732</v>
      </c>
      <c r="J238" t="e">
        <v>#N/A</v>
      </c>
    </row>
    <row r="239" spans="1:10" x14ac:dyDescent="0.15">
      <c r="A239" t="s">
        <v>3337</v>
      </c>
      <c r="B239" t="s">
        <v>733</v>
      </c>
      <c r="C239">
        <v>895</v>
      </c>
      <c r="D239">
        <v>1711</v>
      </c>
      <c r="E239">
        <v>7051</v>
      </c>
      <c r="F239">
        <v>733</v>
      </c>
      <c r="G239">
        <v>314</v>
      </c>
      <c r="H239" t="s">
        <v>734</v>
      </c>
      <c r="I239" t="s">
        <v>735</v>
      </c>
      <c r="J239" t="e">
        <v>#N/A</v>
      </c>
    </row>
    <row r="240" spans="1:10" x14ac:dyDescent="0.15">
      <c r="A240" t="s">
        <v>3338</v>
      </c>
      <c r="B240" t="s">
        <v>736</v>
      </c>
      <c r="C240">
        <v>894</v>
      </c>
      <c r="D240">
        <v>1710</v>
      </c>
      <c r="E240">
        <v>7050</v>
      </c>
      <c r="F240">
        <v>732</v>
      </c>
      <c r="G240">
        <v>312</v>
      </c>
      <c r="H240" t="s">
        <v>737</v>
      </c>
      <c r="I240" t="s">
        <v>738</v>
      </c>
      <c r="J240" t="e">
        <v>#N/A</v>
      </c>
    </row>
    <row r="241" spans="1:10" x14ac:dyDescent="0.15">
      <c r="A241" t="s">
        <v>3339</v>
      </c>
      <c r="B241">
        <v>862</v>
      </c>
      <c r="C241">
        <v>947</v>
      </c>
      <c r="D241">
        <v>1506</v>
      </c>
      <c r="E241">
        <v>6270</v>
      </c>
      <c r="F241">
        <v>637</v>
      </c>
      <c r="G241">
        <v>2016</v>
      </c>
      <c r="H241" t="s">
        <v>739</v>
      </c>
      <c r="I241" t="s">
        <v>740</v>
      </c>
      <c r="J241" t="e">
        <v>#N/A</v>
      </c>
    </row>
    <row r="242" spans="1:10" x14ac:dyDescent="0.15">
      <c r="A242" t="s">
        <v>3340</v>
      </c>
      <c r="B242" t="s">
        <v>741</v>
      </c>
      <c r="C242">
        <v>947</v>
      </c>
      <c r="D242">
        <v>1505</v>
      </c>
      <c r="E242">
        <v>6270</v>
      </c>
      <c r="F242" t="s">
        <v>742</v>
      </c>
      <c r="G242">
        <v>2015</v>
      </c>
      <c r="H242" t="s">
        <v>743</v>
      </c>
      <c r="I242" t="s">
        <v>744</v>
      </c>
      <c r="J242" t="e">
        <v>#N/A</v>
      </c>
    </row>
    <row r="243" spans="1:10" x14ac:dyDescent="0.15">
      <c r="A243" t="s">
        <v>3341</v>
      </c>
      <c r="B243" t="s">
        <v>745</v>
      </c>
      <c r="C243">
        <v>947</v>
      </c>
      <c r="D243">
        <v>1507</v>
      </c>
      <c r="E243">
        <v>6269</v>
      </c>
      <c r="F243">
        <v>635</v>
      </c>
      <c r="G243">
        <v>2014</v>
      </c>
      <c r="H243" t="s">
        <v>746</v>
      </c>
      <c r="I243" t="s">
        <v>747</v>
      </c>
      <c r="J243" t="e">
        <v>#N/A</v>
      </c>
    </row>
    <row r="244" spans="1:10" x14ac:dyDescent="0.15">
      <c r="A244" t="s">
        <v>3342</v>
      </c>
      <c r="B244">
        <v>268</v>
      </c>
      <c r="C244">
        <v>947</v>
      </c>
      <c r="D244">
        <v>1504</v>
      </c>
      <c r="E244">
        <v>6268</v>
      </c>
      <c r="F244" t="s">
        <v>748</v>
      </c>
      <c r="G244">
        <v>2013</v>
      </c>
      <c r="H244" t="s">
        <v>749</v>
      </c>
      <c r="I244" t="s">
        <v>750</v>
      </c>
      <c r="J244" t="e">
        <v>#N/A</v>
      </c>
    </row>
    <row r="245" spans="1:10" x14ac:dyDescent="0.15">
      <c r="A245" t="s">
        <v>3343</v>
      </c>
      <c r="B245">
        <v>381</v>
      </c>
      <c r="C245">
        <v>977</v>
      </c>
      <c r="D245">
        <v>2005</v>
      </c>
      <c r="E245">
        <v>5477</v>
      </c>
      <c r="F245" t="s">
        <v>751</v>
      </c>
      <c r="G245">
        <v>739</v>
      </c>
      <c r="H245" t="s">
        <v>752</v>
      </c>
      <c r="I245" t="s">
        <v>753</v>
      </c>
      <c r="J245" t="e">
        <v>#N/A</v>
      </c>
    </row>
    <row r="246" spans="1:10" x14ac:dyDescent="0.15">
      <c r="A246" t="s">
        <v>3344</v>
      </c>
      <c r="B246">
        <v>152</v>
      </c>
      <c r="C246">
        <v>885</v>
      </c>
      <c r="D246">
        <v>1009</v>
      </c>
      <c r="E246">
        <v>7160</v>
      </c>
      <c r="F246" t="s">
        <v>754</v>
      </c>
      <c r="G246">
        <v>358</v>
      </c>
      <c r="H246" t="s">
        <v>755</v>
      </c>
      <c r="I246" t="s">
        <v>756</v>
      </c>
      <c r="J246" t="e">
        <v>#N/A</v>
      </c>
    </row>
    <row r="247" spans="1:10" x14ac:dyDescent="0.15">
      <c r="A247" t="s">
        <v>3345</v>
      </c>
      <c r="B247">
        <v>189</v>
      </c>
      <c r="C247">
        <v>911</v>
      </c>
      <c r="D247">
        <v>1203</v>
      </c>
      <c r="E247">
        <v>6187</v>
      </c>
      <c r="F247" t="s">
        <v>757</v>
      </c>
      <c r="G247">
        <v>222</v>
      </c>
      <c r="H247" t="s">
        <v>758</v>
      </c>
      <c r="I247" t="s">
        <v>759</v>
      </c>
      <c r="J247" t="e">
        <v>#N/A</v>
      </c>
    </row>
    <row r="248" spans="1:10" x14ac:dyDescent="0.15">
      <c r="A248" t="s">
        <v>3346</v>
      </c>
      <c r="B248">
        <v>881</v>
      </c>
      <c r="C248">
        <v>966</v>
      </c>
      <c r="D248">
        <v>2313</v>
      </c>
      <c r="E248">
        <v>3335</v>
      </c>
      <c r="F248" t="s">
        <v>760</v>
      </c>
      <c r="G248">
        <v>751</v>
      </c>
      <c r="H248" t="s">
        <v>761</v>
      </c>
      <c r="I248" t="s">
        <v>762</v>
      </c>
      <c r="J248" t="e">
        <v>#N/A</v>
      </c>
    </row>
    <row r="249" spans="1:10" x14ac:dyDescent="0.15">
      <c r="A249" t="s">
        <v>3347</v>
      </c>
      <c r="B249">
        <v>332</v>
      </c>
      <c r="C249">
        <v>82</v>
      </c>
      <c r="D249">
        <v>207</v>
      </c>
      <c r="E249">
        <v>2330</v>
      </c>
      <c r="F249" t="s">
        <v>763</v>
      </c>
      <c r="G249">
        <v>174</v>
      </c>
      <c r="H249" t="s">
        <v>764</v>
      </c>
      <c r="I249" t="s">
        <v>765</v>
      </c>
      <c r="J249" t="e">
        <v>#N/A</v>
      </c>
    </row>
    <row r="250" spans="1:10" x14ac:dyDescent="0.15">
      <c r="A250" t="s">
        <v>3348</v>
      </c>
      <c r="B250">
        <v>330</v>
      </c>
      <c r="C250">
        <v>822</v>
      </c>
      <c r="D250">
        <v>205</v>
      </c>
      <c r="E250">
        <v>2327</v>
      </c>
      <c r="F250" t="s">
        <v>766</v>
      </c>
      <c r="G250">
        <v>173</v>
      </c>
      <c r="H250" t="s">
        <v>767</v>
      </c>
      <c r="I250" t="s">
        <v>768</v>
      </c>
      <c r="J250" t="e">
        <v>#N/A</v>
      </c>
    </row>
    <row r="251" spans="1:10" x14ac:dyDescent="0.15">
      <c r="A251" t="s">
        <v>3349</v>
      </c>
      <c r="B251">
        <v>1011</v>
      </c>
      <c r="C251">
        <v>966</v>
      </c>
      <c r="D251">
        <v>306</v>
      </c>
      <c r="E251">
        <v>2331</v>
      </c>
      <c r="F251" t="s">
        <v>769</v>
      </c>
      <c r="G251">
        <v>1021</v>
      </c>
      <c r="H251" t="s">
        <v>770</v>
      </c>
      <c r="I251" t="s">
        <v>771</v>
      </c>
      <c r="J251" t="e">
        <v>#N/A</v>
      </c>
    </row>
    <row r="252" spans="1:10" x14ac:dyDescent="0.15">
      <c r="A252" t="s">
        <v>3350</v>
      </c>
      <c r="B252">
        <v>4146</v>
      </c>
      <c r="C252">
        <v>967</v>
      </c>
      <c r="D252">
        <v>2309</v>
      </c>
      <c r="E252">
        <v>2336</v>
      </c>
      <c r="F252" t="s">
        <v>772</v>
      </c>
      <c r="G252">
        <v>765</v>
      </c>
      <c r="H252" t="s">
        <v>773</v>
      </c>
      <c r="I252" t="s">
        <v>774</v>
      </c>
      <c r="J252" t="e">
        <v>#N/A</v>
      </c>
    </row>
    <row r="253" spans="1:10" x14ac:dyDescent="0.15">
      <c r="A253" t="s">
        <v>3351</v>
      </c>
      <c r="B253" t="s">
        <v>775</v>
      </c>
      <c r="C253">
        <v>957</v>
      </c>
      <c r="D253">
        <v>2308</v>
      </c>
      <c r="E253">
        <v>3335</v>
      </c>
      <c r="F253">
        <v>340</v>
      </c>
      <c r="G253">
        <v>733</v>
      </c>
      <c r="H253" t="s">
        <v>776</v>
      </c>
      <c r="I253" t="s">
        <v>777</v>
      </c>
      <c r="J253" t="e">
        <v>#N/A</v>
      </c>
    </row>
    <row r="254" spans="1:10" x14ac:dyDescent="0.15">
      <c r="A254" t="s">
        <v>3352</v>
      </c>
      <c r="B254">
        <v>203</v>
      </c>
      <c r="C254">
        <v>928</v>
      </c>
      <c r="D254">
        <v>1211</v>
      </c>
      <c r="E254">
        <v>6020</v>
      </c>
      <c r="F254" t="s">
        <v>778</v>
      </c>
      <c r="G254">
        <v>262</v>
      </c>
      <c r="H254" t="s">
        <v>779</v>
      </c>
      <c r="I254" t="s">
        <v>780</v>
      </c>
      <c r="J254" t="e">
        <v>#N/A</v>
      </c>
    </row>
    <row r="255" spans="1:10" x14ac:dyDescent="0.15">
      <c r="A255" t="s">
        <v>3353</v>
      </c>
      <c r="B255">
        <v>206</v>
      </c>
      <c r="C255">
        <v>927</v>
      </c>
      <c r="D255">
        <v>1210</v>
      </c>
      <c r="E255">
        <v>6030</v>
      </c>
      <c r="F255">
        <v>333</v>
      </c>
      <c r="G255">
        <v>261</v>
      </c>
      <c r="H255" t="s">
        <v>781</v>
      </c>
      <c r="I255" t="s">
        <v>782</v>
      </c>
      <c r="J255" t="e">
        <v>#N/A</v>
      </c>
    </row>
    <row r="256" spans="1:10" x14ac:dyDescent="0.15">
      <c r="A256" t="s">
        <v>3354</v>
      </c>
      <c r="B256" t="s">
        <v>783</v>
      </c>
      <c r="C256">
        <v>851</v>
      </c>
      <c r="D256">
        <v>611</v>
      </c>
      <c r="E256">
        <v>3127</v>
      </c>
      <c r="F256">
        <v>2114</v>
      </c>
      <c r="G256">
        <v>1046</v>
      </c>
      <c r="H256" t="s">
        <v>784</v>
      </c>
      <c r="I256" t="s">
        <v>785</v>
      </c>
      <c r="J256" t="e">
        <v>#N/A</v>
      </c>
    </row>
    <row r="257" spans="1:10" x14ac:dyDescent="0.15">
      <c r="A257" t="s">
        <v>3355</v>
      </c>
      <c r="B257" t="s">
        <v>786</v>
      </c>
      <c r="C257">
        <v>843</v>
      </c>
      <c r="D257">
        <v>612</v>
      </c>
      <c r="E257">
        <v>3125</v>
      </c>
      <c r="F257">
        <v>354</v>
      </c>
      <c r="G257">
        <v>104</v>
      </c>
      <c r="H257" t="s">
        <v>787</v>
      </c>
      <c r="I257" t="s">
        <v>788</v>
      </c>
      <c r="J257" t="e">
        <v>#N/A</v>
      </c>
    </row>
    <row r="258" spans="1:10" x14ac:dyDescent="0.15">
      <c r="A258" t="s">
        <v>3356</v>
      </c>
      <c r="B258">
        <v>187</v>
      </c>
      <c r="C258">
        <v>910</v>
      </c>
      <c r="D258">
        <v>1114</v>
      </c>
      <c r="E258">
        <v>6186</v>
      </c>
      <c r="F258">
        <v>899</v>
      </c>
      <c r="G258">
        <v>2215</v>
      </c>
      <c r="H258" t="s">
        <v>789</v>
      </c>
      <c r="I258" t="s">
        <v>790</v>
      </c>
      <c r="J258" t="e">
        <v>#N/A</v>
      </c>
    </row>
    <row r="259" spans="1:10" x14ac:dyDescent="0.15">
      <c r="A259" t="s">
        <v>3357</v>
      </c>
      <c r="B259">
        <v>186</v>
      </c>
      <c r="C259">
        <v>909</v>
      </c>
      <c r="D259">
        <v>1113</v>
      </c>
      <c r="E259">
        <v>6185</v>
      </c>
      <c r="F259">
        <v>897</v>
      </c>
      <c r="G259">
        <v>220</v>
      </c>
      <c r="H259" t="s">
        <v>791</v>
      </c>
      <c r="I259" t="s">
        <v>792</v>
      </c>
      <c r="J259" t="e">
        <v>#N/A</v>
      </c>
    </row>
    <row r="260" spans="1:10" x14ac:dyDescent="0.15">
      <c r="A260" t="s">
        <v>3358</v>
      </c>
      <c r="B260">
        <v>76</v>
      </c>
      <c r="C260">
        <v>854</v>
      </c>
      <c r="D260">
        <v>610</v>
      </c>
      <c r="E260">
        <v>3176</v>
      </c>
      <c r="F260">
        <v>106</v>
      </c>
      <c r="G260">
        <v>1014</v>
      </c>
      <c r="H260" t="s">
        <v>793</v>
      </c>
      <c r="I260" t="s">
        <v>794</v>
      </c>
      <c r="J260" t="e">
        <v>#N/A</v>
      </c>
    </row>
    <row r="261" spans="1:10" x14ac:dyDescent="0.15">
      <c r="A261" t="s">
        <v>3359</v>
      </c>
      <c r="B261">
        <v>75</v>
      </c>
      <c r="C261">
        <v>843</v>
      </c>
      <c r="D261">
        <v>609</v>
      </c>
      <c r="E261">
        <v>3151</v>
      </c>
      <c r="F261">
        <v>2105</v>
      </c>
      <c r="G261">
        <v>1119</v>
      </c>
      <c r="H261" t="s">
        <v>795</v>
      </c>
      <c r="I261" t="s">
        <v>796</v>
      </c>
      <c r="J261" t="e">
        <v>#N/A</v>
      </c>
    </row>
    <row r="262" spans="1:10" x14ac:dyDescent="0.15">
      <c r="A262" t="s">
        <v>3360</v>
      </c>
      <c r="B262" t="s">
        <v>797</v>
      </c>
      <c r="C262">
        <v>842</v>
      </c>
      <c r="D262">
        <v>608</v>
      </c>
      <c r="E262">
        <v>3280</v>
      </c>
      <c r="F262">
        <v>111</v>
      </c>
      <c r="G262" t="s">
        <v>798</v>
      </c>
      <c r="H262" t="s">
        <v>799</v>
      </c>
      <c r="I262" t="s">
        <v>800</v>
      </c>
      <c r="J262" t="e">
        <v>#N/A</v>
      </c>
    </row>
    <row r="263" spans="1:10" x14ac:dyDescent="0.15">
      <c r="A263" t="s">
        <v>3361</v>
      </c>
      <c r="B263" t="s">
        <v>801</v>
      </c>
      <c r="C263">
        <v>908</v>
      </c>
      <c r="D263">
        <v>1112</v>
      </c>
      <c r="E263">
        <v>6185</v>
      </c>
      <c r="F263">
        <v>8961</v>
      </c>
      <c r="G263">
        <v>219</v>
      </c>
      <c r="H263" t="s">
        <v>802</v>
      </c>
      <c r="I263" t="s">
        <v>803</v>
      </c>
      <c r="J263" t="e">
        <v>#N/A</v>
      </c>
    </row>
    <row r="264" spans="1:10" x14ac:dyDescent="0.15">
      <c r="A264" t="s">
        <v>3362</v>
      </c>
      <c r="B264" t="s">
        <v>656</v>
      </c>
      <c r="C264">
        <v>927</v>
      </c>
      <c r="D264">
        <v>1209</v>
      </c>
      <c r="E264">
        <v>6030</v>
      </c>
      <c r="F264">
        <v>317</v>
      </c>
      <c r="G264">
        <v>261</v>
      </c>
      <c r="H264" t="s">
        <v>804</v>
      </c>
      <c r="I264" t="s">
        <v>805</v>
      </c>
      <c r="J264" t="e">
        <v>#N/A</v>
      </c>
    </row>
    <row r="265" spans="1:10" x14ac:dyDescent="0.15">
      <c r="A265" t="s">
        <v>3363</v>
      </c>
      <c r="B265">
        <v>316</v>
      </c>
      <c r="C265">
        <v>818</v>
      </c>
      <c r="D265">
        <v>204</v>
      </c>
      <c r="E265">
        <v>2327</v>
      </c>
      <c r="F265" t="s">
        <v>806</v>
      </c>
      <c r="G265">
        <v>535</v>
      </c>
      <c r="H265" t="s">
        <v>807</v>
      </c>
      <c r="I265" t="s">
        <v>808</v>
      </c>
      <c r="J265" t="e">
        <v>#N/A</v>
      </c>
    </row>
    <row r="266" spans="1:10" x14ac:dyDescent="0.15">
      <c r="A266" t="s">
        <v>809</v>
      </c>
      <c r="B266">
        <v>316</v>
      </c>
      <c r="C266">
        <v>818</v>
      </c>
      <c r="D266">
        <v>203</v>
      </c>
      <c r="E266">
        <v>2099</v>
      </c>
      <c r="F266" t="s">
        <v>810</v>
      </c>
      <c r="G266">
        <v>534</v>
      </c>
      <c r="H266" t="s">
        <v>811</v>
      </c>
      <c r="I266" t="s">
        <v>812</v>
      </c>
      <c r="J266" t="e">
        <v>#N/A</v>
      </c>
    </row>
    <row r="267" spans="1:10" x14ac:dyDescent="0.15">
      <c r="A267" t="s">
        <v>3364</v>
      </c>
      <c r="B267">
        <v>298</v>
      </c>
      <c r="C267">
        <v>809</v>
      </c>
      <c r="D267">
        <v>107</v>
      </c>
      <c r="E267">
        <v>2307</v>
      </c>
      <c r="F267">
        <v>145</v>
      </c>
      <c r="G267">
        <v>524</v>
      </c>
      <c r="H267" t="s">
        <v>813</v>
      </c>
      <c r="I267" t="s">
        <v>814</v>
      </c>
      <c r="J267" t="e">
        <v>#N/A</v>
      </c>
    </row>
    <row r="268" spans="1:10" x14ac:dyDescent="0.15">
      <c r="A268" t="s">
        <v>3365</v>
      </c>
      <c r="B268" t="s">
        <v>815</v>
      </c>
      <c r="C268">
        <v>804</v>
      </c>
      <c r="D268">
        <v>105</v>
      </c>
      <c r="E268">
        <v>2290</v>
      </c>
      <c r="F268" t="s">
        <v>816</v>
      </c>
      <c r="G268">
        <v>546</v>
      </c>
      <c r="H268" t="s">
        <v>817</v>
      </c>
      <c r="I268" t="s">
        <v>818</v>
      </c>
      <c r="J268" t="e">
        <v>#N/A</v>
      </c>
    </row>
    <row r="269" spans="1:10" x14ac:dyDescent="0.15">
      <c r="A269" t="s">
        <v>3366</v>
      </c>
      <c r="B269" t="s">
        <v>819</v>
      </c>
      <c r="C269">
        <v>964</v>
      </c>
      <c r="D269">
        <v>2303</v>
      </c>
      <c r="E269">
        <v>5349</v>
      </c>
      <c r="F269">
        <v>130</v>
      </c>
      <c r="G269">
        <v>713</v>
      </c>
      <c r="H269" t="s">
        <v>820</v>
      </c>
      <c r="I269" t="s">
        <v>821</v>
      </c>
      <c r="J269" t="e">
        <v>#N/A</v>
      </c>
    </row>
    <row r="270" spans="1:10" x14ac:dyDescent="0.15">
      <c r="A270" t="s">
        <v>3367</v>
      </c>
      <c r="B270">
        <v>1001</v>
      </c>
      <c r="C270">
        <v>962</v>
      </c>
      <c r="D270">
        <v>2302</v>
      </c>
      <c r="E270">
        <v>2308</v>
      </c>
      <c r="F270" t="s">
        <v>822</v>
      </c>
      <c r="G270">
        <v>712</v>
      </c>
      <c r="H270" t="s">
        <v>823</v>
      </c>
      <c r="I270" t="s">
        <v>824</v>
      </c>
      <c r="J270" t="e">
        <v>#N/A</v>
      </c>
    </row>
    <row r="271" spans="1:10" x14ac:dyDescent="0.15">
      <c r="A271" t="s">
        <v>3368</v>
      </c>
      <c r="B271" t="s">
        <v>825</v>
      </c>
      <c r="C271">
        <v>961</v>
      </c>
      <c r="D271">
        <v>2301</v>
      </c>
      <c r="E271">
        <v>2306</v>
      </c>
      <c r="F271" t="s">
        <v>826</v>
      </c>
      <c r="G271">
        <v>711</v>
      </c>
      <c r="H271" t="s">
        <v>827</v>
      </c>
      <c r="I271" t="s">
        <v>828</v>
      </c>
      <c r="J271" t="e">
        <v>#N/A</v>
      </c>
    </row>
    <row r="272" spans="1:10" x14ac:dyDescent="0.15">
      <c r="A272" t="s">
        <v>3369</v>
      </c>
      <c r="B272">
        <v>246</v>
      </c>
      <c r="C272">
        <v>918</v>
      </c>
      <c r="D272">
        <v>1404</v>
      </c>
      <c r="E272">
        <v>6021</v>
      </c>
      <c r="F272">
        <v>320</v>
      </c>
      <c r="G272">
        <v>246</v>
      </c>
      <c r="H272" t="s">
        <v>829</v>
      </c>
      <c r="I272" t="s">
        <v>830</v>
      </c>
      <c r="J272" t="e">
        <v>#N/A</v>
      </c>
    </row>
    <row r="273" spans="1:10" x14ac:dyDescent="0.15">
      <c r="A273" t="s">
        <v>3370</v>
      </c>
      <c r="B273" t="s">
        <v>831</v>
      </c>
      <c r="C273">
        <v>934</v>
      </c>
      <c r="D273">
        <v>1403</v>
      </c>
      <c r="E273">
        <v>6258</v>
      </c>
      <c r="F273">
        <v>2319</v>
      </c>
      <c r="G273">
        <v>277</v>
      </c>
      <c r="H273" t="s">
        <v>832</v>
      </c>
      <c r="I273" t="s">
        <v>833</v>
      </c>
      <c r="J273" t="e">
        <v>#N/A</v>
      </c>
    </row>
    <row r="274" spans="1:10" x14ac:dyDescent="0.15">
      <c r="A274" t="s">
        <v>3371</v>
      </c>
      <c r="B274">
        <v>243</v>
      </c>
      <c r="C274">
        <v>933</v>
      </c>
      <c r="D274">
        <v>1402</v>
      </c>
      <c r="E274">
        <v>6258</v>
      </c>
      <c r="F274">
        <v>318</v>
      </c>
      <c r="G274">
        <v>275</v>
      </c>
      <c r="H274" t="s">
        <v>834</v>
      </c>
      <c r="I274" t="s">
        <v>835</v>
      </c>
      <c r="J274" t="e">
        <v>#N/A</v>
      </c>
    </row>
    <row r="275" spans="1:10" x14ac:dyDescent="0.15">
      <c r="A275" t="s">
        <v>3372</v>
      </c>
      <c r="B275" t="s">
        <v>836</v>
      </c>
      <c r="C275">
        <v>928</v>
      </c>
      <c r="D275">
        <v>1401</v>
      </c>
      <c r="E275">
        <v>6266</v>
      </c>
      <c r="F275">
        <v>318</v>
      </c>
      <c r="G275">
        <v>275</v>
      </c>
      <c r="H275" t="s">
        <v>837</v>
      </c>
      <c r="I275" t="s">
        <v>838</v>
      </c>
      <c r="J275" t="e">
        <v>#N/A</v>
      </c>
    </row>
    <row r="276" spans="1:10" x14ac:dyDescent="0.15">
      <c r="A276" t="s">
        <v>3373</v>
      </c>
      <c r="B276" t="s">
        <v>839</v>
      </c>
      <c r="C276">
        <v>917</v>
      </c>
      <c r="D276">
        <v>1204</v>
      </c>
      <c r="E276">
        <v>6212</v>
      </c>
      <c r="F276">
        <v>846</v>
      </c>
      <c r="G276">
        <v>204</v>
      </c>
      <c r="H276" t="s">
        <v>840</v>
      </c>
      <c r="I276" t="s">
        <v>841</v>
      </c>
      <c r="J276" t="e">
        <v>#N/A</v>
      </c>
    </row>
    <row r="277" spans="1:10" x14ac:dyDescent="0.15">
      <c r="A277" t="s">
        <v>3374</v>
      </c>
      <c r="B277">
        <v>1072</v>
      </c>
      <c r="C277">
        <v>916</v>
      </c>
      <c r="D277">
        <v>1202</v>
      </c>
      <c r="E277">
        <v>6186</v>
      </c>
      <c r="F277" t="s">
        <v>842</v>
      </c>
      <c r="G277">
        <v>254</v>
      </c>
      <c r="H277" t="s">
        <v>843</v>
      </c>
      <c r="I277" t="s">
        <v>844</v>
      </c>
      <c r="J277" t="e">
        <v>#N/A</v>
      </c>
    </row>
    <row r="278" spans="1:10" x14ac:dyDescent="0.15">
      <c r="A278" t="s">
        <v>3375</v>
      </c>
      <c r="B278">
        <v>1070</v>
      </c>
      <c r="C278">
        <v>919</v>
      </c>
      <c r="D278">
        <v>1201</v>
      </c>
      <c r="E278">
        <v>6185</v>
      </c>
      <c r="F278" t="s">
        <v>845</v>
      </c>
      <c r="G278">
        <v>253</v>
      </c>
      <c r="H278" t="s">
        <v>846</v>
      </c>
      <c r="I278" t="s">
        <v>847</v>
      </c>
      <c r="J278" t="e">
        <v>#N/A</v>
      </c>
    </row>
    <row r="279" spans="1:10" x14ac:dyDescent="0.15">
      <c r="A279" t="s">
        <v>3376</v>
      </c>
      <c r="B279">
        <v>410</v>
      </c>
      <c r="C279" t="s">
        <v>69</v>
      </c>
      <c r="D279">
        <v>1102</v>
      </c>
      <c r="E279">
        <v>7010</v>
      </c>
      <c r="F279" t="s">
        <v>848</v>
      </c>
      <c r="G279">
        <v>372</v>
      </c>
      <c r="H279" t="s">
        <v>849</v>
      </c>
      <c r="I279" t="s">
        <v>850</v>
      </c>
      <c r="J279" t="e">
        <v>#N/A</v>
      </c>
    </row>
    <row r="280" spans="1:10" x14ac:dyDescent="0.15">
      <c r="A280" t="s">
        <v>3377</v>
      </c>
      <c r="B280" t="s">
        <v>851</v>
      </c>
      <c r="C280" t="s">
        <v>69</v>
      </c>
      <c r="D280">
        <v>1103</v>
      </c>
      <c r="E280">
        <v>7001</v>
      </c>
      <c r="F280" t="s">
        <v>852</v>
      </c>
      <c r="G280">
        <v>371</v>
      </c>
      <c r="H280" t="s">
        <v>853</v>
      </c>
      <c r="I280" t="s">
        <v>854</v>
      </c>
      <c r="J280" t="e">
        <v>#N/A</v>
      </c>
    </row>
    <row r="281" spans="1:10" x14ac:dyDescent="0.15">
      <c r="A281" t="s">
        <v>3378</v>
      </c>
      <c r="B281" t="s">
        <v>855</v>
      </c>
      <c r="C281">
        <v>951</v>
      </c>
      <c r="D281">
        <v>1607</v>
      </c>
      <c r="E281">
        <v>6845</v>
      </c>
      <c r="F281">
        <v>685</v>
      </c>
      <c r="G281">
        <v>289</v>
      </c>
      <c r="H281" t="s">
        <v>856</v>
      </c>
      <c r="I281" t="s">
        <v>857</v>
      </c>
      <c r="J281" t="e">
        <v>#N/A</v>
      </c>
    </row>
    <row r="282" spans="1:10" x14ac:dyDescent="0.15">
      <c r="A282" t="s">
        <v>3379</v>
      </c>
      <c r="B282" t="s">
        <v>858</v>
      </c>
      <c r="C282">
        <v>945</v>
      </c>
      <c r="D282">
        <v>1606</v>
      </c>
      <c r="E282">
        <v>6843</v>
      </c>
      <c r="F282" t="s">
        <v>859</v>
      </c>
      <c r="G282">
        <v>288</v>
      </c>
      <c r="H282" t="s">
        <v>860</v>
      </c>
      <c r="I282" t="s">
        <v>861</v>
      </c>
      <c r="J282" t="e">
        <v>#N/A</v>
      </c>
    </row>
    <row r="283" spans="1:10" x14ac:dyDescent="0.15">
      <c r="A283" t="s">
        <v>3380</v>
      </c>
      <c r="B283">
        <v>842</v>
      </c>
      <c r="C283">
        <v>944</v>
      </c>
      <c r="D283">
        <v>1605</v>
      </c>
      <c r="E283">
        <v>68442</v>
      </c>
      <c r="F283" t="s">
        <v>862</v>
      </c>
      <c r="G283">
        <v>287</v>
      </c>
      <c r="H283" t="s">
        <v>863</v>
      </c>
      <c r="I283" t="s">
        <v>864</v>
      </c>
      <c r="J283" t="e">
        <v>#N/A</v>
      </c>
    </row>
    <row r="284" spans="1:10" x14ac:dyDescent="0.15">
      <c r="A284" t="s">
        <v>3381</v>
      </c>
      <c r="B284">
        <v>905</v>
      </c>
      <c r="C284">
        <v>988</v>
      </c>
      <c r="D284">
        <v>1904</v>
      </c>
      <c r="E284">
        <v>5395</v>
      </c>
      <c r="F284">
        <v>477</v>
      </c>
      <c r="G284">
        <v>739</v>
      </c>
      <c r="H284" t="s">
        <v>865</v>
      </c>
      <c r="I284" t="s">
        <v>866</v>
      </c>
      <c r="J284" t="e">
        <v>#N/A</v>
      </c>
    </row>
    <row r="285" spans="1:10" x14ac:dyDescent="0.15">
      <c r="A285" t="s">
        <v>3382</v>
      </c>
      <c r="B285">
        <v>8581</v>
      </c>
      <c r="C285">
        <v>983</v>
      </c>
      <c r="D285">
        <v>1903</v>
      </c>
      <c r="E285">
        <v>5393</v>
      </c>
      <c r="F285" t="s">
        <v>867</v>
      </c>
      <c r="G285">
        <v>423</v>
      </c>
      <c r="H285" t="s">
        <v>868</v>
      </c>
      <c r="I285" t="s">
        <v>869</v>
      </c>
      <c r="J285" t="e">
        <v>#N/A</v>
      </c>
    </row>
    <row r="286" spans="1:10" x14ac:dyDescent="0.15">
      <c r="A286" t="s">
        <v>3383</v>
      </c>
      <c r="B286">
        <v>899</v>
      </c>
      <c r="C286">
        <v>982</v>
      </c>
      <c r="D286">
        <v>1902</v>
      </c>
      <c r="E286">
        <v>8390</v>
      </c>
      <c r="F286" t="s">
        <v>870</v>
      </c>
      <c r="G286">
        <v>813</v>
      </c>
      <c r="H286" t="s">
        <v>871</v>
      </c>
      <c r="I286" t="s">
        <v>872</v>
      </c>
      <c r="J286" t="e">
        <v>#N/A</v>
      </c>
    </row>
    <row r="287" spans="1:10" x14ac:dyDescent="0.15">
      <c r="A287" t="s">
        <v>3384</v>
      </c>
      <c r="B287">
        <v>397</v>
      </c>
      <c r="C287">
        <v>985</v>
      </c>
      <c r="D287">
        <v>1901</v>
      </c>
      <c r="E287">
        <v>8390</v>
      </c>
      <c r="F287" t="s">
        <v>873</v>
      </c>
      <c r="G287">
        <v>412</v>
      </c>
      <c r="H287" t="s">
        <v>874</v>
      </c>
      <c r="I287" t="s">
        <v>875</v>
      </c>
      <c r="J287" t="e">
        <v>#N/A</v>
      </c>
    </row>
    <row r="288" spans="1:10" x14ac:dyDescent="0.15">
      <c r="A288" t="s">
        <v>3385</v>
      </c>
      <c r="B288">
        <v>360</v>
      </c>
      <c r="C288">
        <v>976</v>
      </c>
      <c r="D288">
        <v>2003</v>
      </c>
      <c r="E288">
        <v>5472</v>
      </c>
      <c r="F288" t="s">
        <v>876</v>
      </c>
      <c r="G288">
        <v>739</v>
      </c>
      <c r="H288" t="s">
        <v>877</v>
      </c>
      <c r="I288" t="s">
        <v>878</v>
      </c>
      <c r="J288" t="e">
        <v>#N/A</v>
      </c>
    </row>
    <row r="289" spans="1:10" x14ac:dyDescent="0.15">
      <c r="A289" t="s">
        <v>3386</v>
      </c>
      <c r="B289">
        <v>903</v>
      </c>
      <c r="C289">
        <v>983</v>
      </c>
      <c r="D289">
        <v>2002</v>
      </c>
      <c r="E289">
        <v>5393</v>
      </c>
      <c r="F289">
        <v>382</v>
      </c>
      <c r="G289">
        <v>843</v>
      </c>
      <c r="H289" t="s">
        <v>879</v>
      </c>
      <c r="I289" t="s">
        <v>880</v>
      </c>
      <c r="J289" t="e">
        <v>#N/A</v>
      </c>
    </row>
    <row r="290" spans="1:10" x14ac:dyDescent="0.15">
      <c r="A290" t="s">
        <v>3387</v>
      </c>
      <c r="B290">
        <v>391</v>
      </c>
      <c r="C290">
        <v>981</v>
      </c>
      <c r="D290">
        <v>2001</v>
      </c>
      <c r="E290">
        <v>5388</v>
      </c>
      <c r="F290">
        <v>380</v>
      </c>
      <c r="G290">
        <v>740</v>
      </c>
      <c r="H290" t="s">
        <v>881</v>
      </c>
      <c r="I290" t="s">
        <v>882</v>
      </c>
      <c r="J290" t="e">
        <v>#N/A</v>
      </c>
    </row>
    <row r="291" spans="1:10" x14ac:dyDescent="0.15">
      <c r="A291" t="s">
        <v>3388</v>
      </c>
      <c r="B291">
        <v>871</v>
      </c>
      <c r="C291">
        <v>990</v>
      </c>
      <c r="D291">
        <v>806</v>
      </c>
      <c r="E291">
        <v>4222</v>
      </c>
      <c r="F291" t="s">
        <v>883</v>
      </c>
      <c r="G291">
        <v>654</v>
      </c>
      <c r="H291" t="s">
        <v>884</v>
      </c>
      <c r="I291" t="s">
        <v>885</v>
      </c>
      <c r="J291" t="e">
        <v>#N/A</v>
      </c>
    </row>
    <row r="292" spans="1:10" x14ac:dyDescent="0.15">
      <c r="A292" t="s">
        <v>3389</v>
      </c>
      <c r="B292">
        <v>870</v>
      </c>
      <c r="C292">
        <v>989</v>
      </c>
      <c r="D292">
        <v>807</v>
      </c>
      <c r="E292">
        <v>4221</v>
      </c>
      <c r="F292" t="s">
        <v>886</v>
      </c>
      <c r="G292">
        <v>452</v>
      </c>
      <c r="H292" t="s">
        <v>887</v>
      </c>
      <c r="I292" t="s">
        <v>888</v>
      </c>
      <c r="J292" t="e">
        <v>#N/A</v>
      </c>
    </row>
    <row r="293" spans="1:10" x14ac:dyDescent="0.15">
      <c r="A293" t="s">
        <v>3390</v>
      </c>
      <c r="B293">
        <v>888</v>
      </c>
      <c r="C293">
        <v>955</v>
      </c>
      <c r="D293">
        <v>2103</v>
      </c>
      <c r="E293">
        <v>2412</v>
      </c>
      <c r="F293" t="s">
        <v>889</v>
      </c>
      <c r="G293">
        <v>723</v>
      </c>
      <c r="H293" t="s">
        <v>890</v>
      </c>
      <c r="I293" t="s">
        <v>891</v>
      </c>
      <c r="J293" t="e">
        <v>#N/A</v>
      </c>
    </row>
    <row r="294" spans="1:10" x14ac:dyDescent="0.15">
      <c r="A294" t="s">
        <v>3391</v>
      </c>
      <c r="B294">
        <v>887</v>
      </c>
      <c r="C294">
        <v>954</v>
      </c>
      <c r="D294">
        <v>2206</v>
      </c>
      <c r="E294">
        <v>2410</v>
      </c>
      <c r="F294" t="s">
        <v>892</v>
      </c>
      <c r="G294">
        <v>721</v>
      </c>
      <c r="H294" t="s">
        <v>893</v>
      </c>
      <c r="I294" t="s">
        <v>894</v>
      </c>
      <c r="J294" t="e">
        <v>#N/A</v>
      </c>
    </row>
    <row r="295" spans="1:10" x14ac:dyDescent="0.15">
      <c r="A295" t="s">
        <v>3392</v>
      </c>
      <c r="B295" t="s">
        <v>895</v>
      </c>
      <c r="C295">
        <v>953</v>
      </c>
      <c r="D295">
        <v>2205</v>
      </c>
      <c r="E295">
        <v>2300</v>
      </c>
      <c r="F295">
        <v>771</v>
      </c>
      <c r="G295">
        <v>561</v>
      </c>
      <c r="H295" t="s">
        <v>896</v>
      </c>
      <c r="I295" t="s">
        <v>897</v>
      </c>
      <c r="J295" t="e">
        <v>#N/A</v>
      </c>
    </row>
    <row r="296" spans="1:10" x14ac:dyDescent="0.15">
      <c r="A296" t="s">
        <v>3393</v>
      </c>
      <c r="B296">
        <v>681</v>
      </c>
      <c r="C296">
        <v>946</v>
      </c>
      <c r="D296">
        <v>1508</v>
      </c>
      <c r="E296">
        <v>6317</v>
      </c>
      <c r="F296">
        <v>925</v>
      </c>
      <c r="G296">
        <v>238</v>
      </c>
      <c r="H296" t="s">
        <v>898</v>
      </c>
      <c r="I296" t="s">
        <v>899</v>
      </c>
      <c r="J296" t="e">
        <v>#N/A</v>
      </c>
    </row>
    <row r="297" spans="1:10" x14ac:dyDescent="0.15">
      <c r="A297" t="s">
        <v>3394</v>
      </c>
      <c r="B297">
        <v>262</v>
      </c>
      <c r="C297">
        <v>845</v>
      </c>
      <c r="D297">
        <v>1509</v>
      </c>
      <c r="E297">
        <v>6316</v>
      </c>
      <c r="F297">
        <v>924</v>
      </c>
      <c r="G297">
        <v>237</v>
      </c>
      <c r="H297" t="s">
        <v>900</v>
      </c>
      <c r="I297" t="s">
        <v>901</v>
      </c>
      <c r="J297" t="e">
        <v>#N/A</v>
      </c>
    </row>
    <row r="298" spans="1:10" x14ac:dyDescent="0.15">
      <c r="A298" t="s">
        <v>3395</v>
      </c>
      <c r="B298" t="s">
        <v>902</v>
      </c>
      <c r="C298">
        <v>944</v>
      </c>
      <c r="D298">
        <v>1510</v>
      </c>
      <c r="E298">
        <v>6315</v>
      </c>
      <c r="F298">
        <v>923</v>
      </c>
      <c r="G298">
        <v>236</v>
      </c>
      <c r="H298" t="s">
        <v>903</v>
      </c>
      <c r="I298" t="s">
        <v>904</v>
      </c>
      <c r="J298" t="e">
        <v>#N/A</v>
      </c>
    </row>
    <row r="299" spans="1:10" x14ac:dyDescent="0.15">
      <c r="A299" t="s">
        <v>3396</v>
      </c>
      <c r="B299" t="s">
        <v>905</v>
      </c>
      <c r="C299">
        <v>980</v>
      </c>
      <c r="D299">
        <v>2312</v>
      </c>
      <c r="E299">
        <v>3883</v>
      </c>
      <c r="F299">
        <v>425</v>
      </c>
      <c r="G299">
        <v>766</v>
      </c>
      <c r="H299" t="s">
        <v>906</v>
      </c>
      <c r="I299" t="s">
        <v>907</v>
      </c>
      <c r="J299" t="e">
        <v>#N/A</v>
      </c>
    </row>
    <row r="300" spans="1:10" x14ac:dyDescent="0.15">
      <c r="A300" t="s">
        <v>3397</v>
      </c>
      <c r="B300">
        <v>847</v>
      </c>
      <c r="C300">
        <v>945</v>
      </c>
      <c r="D300">
        <v>1805</v>
      </c>
      <c r="E300">
        <v>6005</v>
      </c>
      <c r="F300">
        <v>151</v>
      </c>
      <c r="G300">
        <v>483</v>
      </c>
      <c r="H300" t="s">
        <v>908</v>
      </c>
      <c r="I300" t="s">
        <v>909</v>
      </c>
      <c r="J300" t="e">
        <v>#N/A</v>
      </c>
    </row>
    <row r="301" spans="1:10" x14ac:dyDescent="0.15">
      <c r="A301" t="s">
        <v>3398</v>
      </c>
      <c r="B301">
        <v>292</v>
      </c>
      <c r="C301">
        <v>802</v>
      </c>
      <c r="D301">
        <v>102</v>
      </c>
      <c r="E301">
        <v>2292</v>
      </c>
      <c r="F301" t="s">
        <v>910</v>
      </c>
      <c r="G301">
        <v>541</v>
      </c>
      <c r="H301" t="s">
        <v>911</v>
      </c>
      <c r="I301" t="s">
        <v>912</v>
      </c>
      <c r="J301" t="e">
        <v>#N/A</v>
      </c>
    </row>
    <row r="302" spans="1:10" x14ac:dyDescent="0.15">
      <c r="A302" t="s">
        <v>3399</v>
      </c>
      <c r="B302">
        <v>129</v>
      </c>
      <c r="C302">
        <v>887</v>
      </c>
      <c r="D302">
        <v>1002</v>
      </c>
      <c r="E302">
        <v>7976</v>
      </c>
      <c r="F302" t="s">
        <v>913</v>
      </c>
      <c r="G302">
        <v>352</v>
      </c>
      <c r="H302" t="s">
        <v>914</v>
      </c>
      <c r="I302" t="s">
        <v>915</v>
      </c>
      <c r="J302" t="e">
        <v>#N/A</v>
      </c>
    </row>
    <row r="303" spans="1:10" x14ac:dyDescent="0.15">
      <c r="A303" t="s">
        <v>3400</v>
      </c>
      <c r="B303">
        <v>36</v>
      </c>
      <c r="C303">
        <v>842</v>
      </c>
      <c r="D303">
        <v>504</v>
      </c>
      <c r="E303">
        <v>3126</v>
      </c>
      <c r="F303" t="s">
        <v>916</v>
      </c>
      <c r="G303">
        <v>1118</v>
      </c>
      <c r="H303" t="s">
        <v>917</v>
      </c>
      <c r="I303" t="s">
        <v>918</v>
      </c>
      <c r="J303" t="e">
        <v>#N/A</v>
      </c>
    </row>
    <row r="304" spans="1:10" x14ac:dyDescent="0.15">
      <c r="A304" t="s">
        <v>3401</v>
      </c>
      <c r="B304">
        <v>1024</v>
      </c>
      <c r="C304">
        <v>839</v>
      </c>
      <c r="D304">
        <v>406</v>
      </c>
      <c r="E304">
        <v>3071</v>
      </c>
      <c r="F304" t="s">
        <v>919</v>
      </c>
      <c r="G304">
        <v>144</v>
      </c>
      <c r="H304" t="s">
        <v>920</v>
      </c>
      <c r="I304" t="s">
        <v>921</v>
      </c>
      <c r="J304" t="e">
        <v>#N/A</v>
      </c>
    </row>
    <row r="305" spans="1:10" x14ac:dyDescent="0.15">
      <c r="A305" t="s">
        <v>3402</v>
      </c>
      <c r="B305">
        <v>329</v>
      </c>
      <c r="C305">
        <v>827</v>
      </c>
      <c r="D305">
        <v>301</v>
      </c>
      <c r="E305" t="s">
        <v>69</v>
      </c>
      <c r="F305">
        <v>444</v>
      </c>
      <c r="G305">
        <v>172</v>
      </c>
      <c r="H305" t="s">
        <v>922</v>
      </c>
      <c r="I305" t="s">
        <v>923</v>
      </c>
      <c r="J305" t="e">
        <v>#N/A</v>
      </c>
    </row>
    <row r="306" spans="1:10" x14ac:dyDescent="0.15">
      <c r="A306" t="s">
        <v>3403</v>
      </c>
      <c r="B306" t="s">
        <v>924</v>
      </c>
      <c r="C306">
        <v>826</v>
      </c>
      <c r="D306">
        <v>302</v>
      </c>
      <c r="E306">
        <v>3332</v>
      </c>
      <c r="F306">
        <v>441</v>
      </c>
      <c r="G306">
        <v>171</v>
      </c>
      <c r="H306" t="s">
        <v>925</v>
      </c>
      <c r="I306" t="s">
        <v>926</v>
      </c>
      <c r="J306" t="e">
        <v>#N/A</v>
      </c>
    </row>
    <row r="307" spans="1:10" x14ac:dyDescent="0.15">
      <c r="A307" t="s">
        <v>3404</v>
      </c>
      <c r="B307">
        <v>268</v>
      </c>
      <c r="C307">
        <v>946</v>
      </c>
      <c r="D307">
        <v>1406</v>
      </c>
      <c r="E307">
        <v>6258</v>
      </c>
      <c r="F307">
        <v>812</v>
      </c>
      <c r="G307">
        <v>1032</v>
      </c>
      <c r="H307" t="s">
        <v>927</v>
      </c>
      <c r="I307" t="s">
        <v>928</v>
      </c>
      <c r="J307" t="e">
        <v>#N/A</v>
      </c>
    </row>
    <row r="308" spans="1:10" x14ac:dyDescent="0.15">
      <c r="A308" t="s">
        <v>3405</v>
      </c>
      <c r="B308">
        <v>267</v>
      </c>
      <c r="C308">
        <v>933</v>
      </c>
      <c r="D308">
        <v>1407</v>
      </c>
      <c r="E308">
        <v>6258</v>
      </c>
      <c r="F308">
        <v>120</v>
      </c>
      <c r="G308">
        <v>277</v>
      </c>
      <c r="H308" t="s">
        <v>929</v>
      </c>
      <c r="I308" t="s">
        <v>930</v>
      </c>
      <c r="J308" t="e">
        <v>#N/A</v>
      </c>
    </row>
    <row r="309" spans="1:10" x14ac:dyDescent="0.15">
      <c r="A309" t="s">
        <v>3406</v>
      </c>
      <c r="B309">
        <v>266</v>
      </c>
      <c r="C309">
        <v>932</v>
      </c>
      <c r="D309">
        <v>1408</v>
      </c>
      <c r="E309">
        <v>6266</v>
      </c>
      <c r="F309">
        <v>119</v>
      </c>
      <c r="G309">
        <v>216</v>
      </c>
      <c r="H309" t="s">
        <v>931</v>
      </c>
      <c r="I309" t="s">
        <v>932</v>
      </c>
      <c r="J309" t="e">
        <v>#N/A</v>
      </c>
    </row>
    <row r="310" spans="1:10" x14ac:dyDescent="0.15">
      <c r="A310" t="s">
        <v>3407</v>
      </c>
      <c r="B310">
        <v>264</v>
      </c>
      <c r="C310">
        <v>931</v>
      </c>
      <c r="D310">
        <v>1409</v>
      </c>
      <c r="E310">
        <v>6226</v>
      </c>
      <c r="F310" t="s">
        <v>933</v>
      </c>
      <c r="G310">
        <v>275</v>
      </c>
      <c r="H310" t="s">
        <v>934</v>
      </c>
      <c r="I310" t="s">
        <v>935</v>
      </c>
      <c r="J310" t="e">
        <v>#N/A</v>
      </c>
    </row>
    <row r="311" spans="1:10" x14ac:dyDescent="0.15">
      <c r="A311" t="s">
        <v>3408</v>
      </c>
      <c r="B311" t="s">
        <v>936</v>
      </c>
      <c r="C311">
        <v>855</v>
      </c>
      <c r="D311">
        <v>603</v>
      </c>
      <c r="E311">
        <v>3004</v>
      </c>
      <c r="F311" t="s">
        <v>937</v>
      </c>
      <c r="G311" t="s">
        <v>938</v>
      </c>
      <c r="H311" t="s">
        <v>939</v>
      </c>
      <c r="I311" t="s">
        <v>940</v>
      </c>
      <c r="J311" t="e">
        <v>#N/A</v>
      </c>
    </row>
    <row r="312" spans="1:10" x14ac:dyDescent="0.15">
      <c r="A312" t="s">
        <v>3409</v>
      </c>
      <c r="B312">
        <v>74</v>
      </c>
      <c r="C312">
        <v>853</v>
      </c>
      <c r="D312">
        <v>606</v>
      </c>
      <c r="E312">
        <v>3003</v>
      </c>
      <c r="F312" t="s">
        <v>941</v>
      </c>
      <c r="G312" t="s">
        <v>942</v>
      </c>
      <c r="H312" t="s">
        <v>943</v>
      </c>
      <c r="I312" t="s">
        <v>944</v>
      </c>
      <c r="J312" t="e">
        <v>#N/A</v>
      </c>
    </row>
    <row r="313" spans="1:10" x14ac:dyDescent="0.15">
      <c r="A313" t="s">
        <v>3410</v>
      </c>
      <c r="B313">
        <v>263</v>
      </c>
      <c r="C313" t="s">
        <v>69</v>
      </c>
      <c r="D313">
        <v>1601</v>
      </c>
      <c r="E313">
        <v>6318</v>
      </c>
      <c r="F313">
        <v>635</v>
      </c>
      <c r="G313">
        <v>2014</v>
      </c>
      <c r="H313" t="s">
        <v>945</v>
      </c>
      <c r="I313" t="s">
        <v>946</v>
      </c>
      <c r="J313" t="e">
        <v>#N/A</v>
      </c>
    </row>
    <row r="314" spans="1:10" x14ac:dyDescent="0.15">
      <c r="A314" t="s">
        <v>3411</v>
      </c>
      <c r="B314">
        <v>262</v>
      </c>
      <c r="C314">
        <v>945</v>
      </c>
      <c r="D314">
        <v>1602</v>
      </c>
      <c r="E314">
        <v>6317</v>
      </c>
      <c r="F314">
        <v>318</v>
      </c>
      <c r="G314">
        <v>238</v>
      </c>
      <c r="H314" t="s">
        <v>947</v>
      </c>
      <c r="I314" t="s">
        <v>948</v>
      </c>
      <c r="J314" t="e">
        <v>#N/A</v>
      </c>
    </row>
    <row r="315" spans="1:10" x14ac:dyDescent="0.15">
      <c r="A315" t="s">
        <v>3412</v>
      </c>
      <c r="B315">
        <v>260</v>
      </c>
      <c r="C315">
        <v>977</v>
      </c>
      <c r="D315">
        <v>1603</v>
      </c>
      <c r="E315">
        <v>6010</v>
      </c>
      <c r="F315">
        <v>924</v>
      </c>
      <c r="G315">
        <v>236</v>
      </c>
      <c r="H315" t="s">
        <v>949</v>
      </c>
      <c r="I315" t="s">
        <v>950</v>
      </c>
      <c r="J315" t="e">
        <v>#N/A</v>
      </c>
    </row>
    <row r="316" spans="1:10" x14ac:dyDescent="0.15">
      <c r="A316" t="s">
        <v>3413</v>
      </c>
      <c r="B316">
        <v>382</v>
      </c>
      <c r="C316">
        <v>977</v>
      </c>
      <c r="D316">
        <v>2004</v>
      </c>
      <c r="E316">
        <v>5478</v>
      </c>
      <c r="F316">
        <v>312</v>
      </c>
      <c r="G316">
        <v>739</v>
      </c>
      <c r="H316" t="s">
        <v>951</v>
      </c>
      <c r="I316" t="s">
        <v>952</v>
      </c>
      <c r="J316" t="e">
        <v>#N/A</v>
      </c>
    </row>
    <row r="317" spans="1:10" x14ac:dyDescent="0.15">
      <c r="A317" t="s">
        <v>3414</v>
      </c>
      <c r="B317">
        <v>87</v>
      </c>
      <c r="C317">
        <v>964</v>
      </c>
      <c r="D317">
        <v>708</v>
      </c>
      <c r="E317">
        <v>4087</v>
      </c>
      <c r="F317">
        <v>484</v>
      </c>
      <c r="G317">
        <v>134</v>
      </c>
      <c r="H317" t="s">
        <v>953</v>
      </c>
      <c r="I317" t="s">
        <v>954</v>
      </c>
      <c r="J317" t="e">
        <v>#N/A</v>
      </c>
    </row>
    <row r="318" spans="1:10" x14ac:dyDescent="0.15">
      <c r="A318" t="s">
        <v>3415</v>
      </c>
      <c r="B318" t="s">
        <v>955</v>
      </c>
      <c r="C318">
        <v>863</v>
      </c>
      <c r="D318">
        <v>709</v>
      </c>
      <c r="E318">
        <v>4086</v>
      </c>
      <c r="F318">
        <v>482</v>
      </c>
      <c r="G318">
        <v>132</v>
      </c>
      <c r="H318" t="s">
        <v>956</v>
      </c>
      <c r="I318" t="s">
        <v>957</v>
      </c>
      <c r="J318" t="e">
        <v>#N/A</v>
      </c>
    </row>
    <row r="319" spans="1:10" x14ac:dyDescent="0.15">
      <c r="A319" t="s">
        <v>3416</v>
      </c>
      <c r="B319" t="s">
        <v>958</v>
      </c>
      <c r="C319">
        <v>857</v>
      </c>
      <c r="D319">
        <v>710</v>
      </c>
      <c r="E319">
        <v>4085</v>
      </c>
      <c r="F319">
        <v>481</v>
      </c>
      <c r="G319">
        <v>131</v>
      </c>
      <c r="H319" t="s">
        <v>959</v>
      </c>
      <c r="I319" t="s">
        <v>960</v>
      </c>
      <c r="J319" t="e">
        <v>#N/A</v>
      </c>
    </row>
    <row r="320" spans="1:10" x14ac:dyDescent="0.15">
      <c r="A320" t="s">
        <v>3417</v>
      </c>
      <c r="B320" t="s">
        <v>961</v>
      </c>
      <c r="C320">
        <v>855</v>
      </c>
      <c r="D320">
        <v>602</v>
      </c>
      <c r="E320">
        <v>3089</v>
      </c>
      <c r="F320" t="s">
        <v>962</v>
      </c>
      <c r="G320">
        <v>196</v>
      </c>
      <c r="H320" t="s">
        <v>963</v>
      </c>
      <c r="I320" t="s">
        <v>964</v>
      </c>
      <c r="J320" t="e">
        <v>#N/A</v>
      </c>
    </row>
    <row r="321" spans="1:10" x14ac:dyDescent="0.15">
      <c r="A321" t="s">
        <v>3418</v>
      </c>
      <c r="B321" t="s">
        <v>965</v>
      </c>
      <c r="C321">
        <v>857</v>
      </c>
      <c r="D321">
        <v>604</v>
      </c>
      <c r="E321">
        <v>3088</v>
      </c>
      <c r="F321" t="s">
        <v>966</v>
      </c>
      <c r="G321" t="s">
        <v>967</v>
      </c>
      <c r="H321" t="s">
        <v>968</v>
      </c>
      <c r="I321" t="s">
        <v>969</v>
      </c>
      <c r="J321" t="e">
        <v>#N/A</v>
      </c>
    </row>
    <row r="322" spans="1:10" x14ac:dyDescent="0.15">
      <c r="A322" t="s">
        <v>3419</v>
      </c>
      <c r="B322">
        <v>66</v>
      </c>
      <c r="C322">
        <v>859</v>
      </c>
      <c r="D322">
        <v>605</v>
      </c>
      <c r="E322">
        <v>3087</v>
      </c>
      <c r="F322" t="s">
        <v>970</v>
      </c>
      <c r="G322">
        <v>1902</v>
      </c>
      <c r="H322" t="s">
        <v>971</v>
      </c>
      <c r="I322" t="s">
        <v>972</v>
      </c>
      <c r="J322" t="e">
        <v>#N/A</v>
      </c>
    </row>
    <row r="323" spans="1:10" x14ac:dyDescent="0.15">
      <c r="A323" t="s">
        <v>3420</v>
      </c>
      <c r="B323">
        <v>49</v>
      </c>
      <c r="C323">
        <v>850</v>
      </c>
      <c r="D323">
        <v>607</v>
      </c>
      <c r="E323">
        <v>3086</v>
      </c>
      <c r="F323" t="s">
        <v>973</v>
      </c>
      <c r="G323">
        <v>123</v>
      </c>
      <c r="H323" t="s">
        <v>974</v>
      </c>
      <c r="I323" t="s">
        <v>975</v>
      </c>
      <c r="J323" t="e">
        <v>#N/A</v>
      </c>
    </row>
    <row r="324" spans="1:10" x14ac:dyDescent="0.15">
      <c r="A324" t="s">
        <v>3421</v>
      </c>
      <c r="B324">
        <v>35</v>
      </c>
      <c r="C324">
        <v>834</v>
      </c>
      <c r="D324">
        <v>410</v>
      </c>
      <c r="E324">
        <v>3012</v>
      </c>
      <c r="F324">
        <v>838</v>
      </c>
      <c r="G324">
        <v>156</v>
      </c>
      <c r="H324" t="s">
        <v>976</v>
      </c>
      <c r="I324" t="s">
        <v>977</v>
      </c>
      <c r="J324" t="e">
        <v>#N/A</v>
      </c>
    </row>
    <row r="325" spans="1:10" x14ac:dyDescent="0.15">
      <c r="A325" t="s">
        <v>3422</v>
      </c>
      <c r="B325">
        <v>33</v>
      </c>
      <c r="C325">
        <v>836</v>
      </c>
      <c r="D325">
        <v>409</v>
      </c>
      <c r="E325">
        <v>3127</v>
      </c>
      <c r="F325">
        <v>836</v>
      </c>
      <c r="G325">
        <v>1083</v>
      </c>
      <c r="H325" t="s">
        <v>978</v>
      </c>
      <c r="I325" t="s">
        <v>979</v>
      </c>
      <c r="J325" t="e">
        <v>#N/A</v>
      </c>
    </row>
    <row r="326" spans="1:10" x14ac:dyDescent="0.15">
      <c r="A326" t="s">
        <v>3423</v>
      </c>
      <c r="B326">
        <v>31</v>
      </c>
      <c r="C326">
        <v>842</v>
      </c>
      <c r="D326">
        <v>408</v>
      </c>
      <c r="E326">
        <v>3127</v>
      </c>
      <c r="F326">
        <v>833</v>
      </c>
      <c r="G326">
        <v>1082</v>
      </c>
      <c r="H326" t="s">
        <v>980</v>
      </c>
      <c r="I326" t="s">
        <v>981</v>
      </c>
      <c r="J326" t="e">
        <v>#N/A</v>
      </c>
    </row>
    <row r="327" spans="1:10" x14ac:dyDescent="0.15">
      <c r="A327" t="s">
        <v>3424</v>
      </c>
      <c r="B327" t="s">
        <v>982</v>
      </c>
      <c r="C327" t="s">
        <v>69</v>
      </c>
      <c r="D327">
        <v>405</v>
      </c>
      <c r="E327">
        <v>3071</v>
      </c>
      <c r="F327">
        <v>854</v>
      </c>
      <c r="G327">
        <v>143</v>
      </c>
      <c r="H327" t="s">
        <v>983</v>
      </c>
      <c r="I327" t="s">
        <v>984</v>
      </c>
      <c r="J327" t="e">
        <v>#N/A</v>
      </c>
    </row>
    <row r="328" spans="1:10" x14ac:dyDescent="0.15">
      <c r="A328" t="s">
        <v>3425</v>
      </c>
      <c r="B328" t="s">
        <v>985</v>
      </c>
      <c r="C328" t="s">
        <v>69</v>
      </c>
      <c r="D328">
        <v>501</v>
      </c>
      <c r="E328">
        <v>3068</v>
      </c>
      <c r="F328">
        <v>851</v>
      </c>
      <c r="G328">
        <v>1011</v>
      </c>
      <c r="H328" t="s">
        <v>986</v>
      </c>
      <c r="I328" t="s">
        <v>987</v>
      </c>
      <c r="J328" t="e">
        <v>#N/A</v>
      </c>
    </row>
    <row r="329" spans="1:10" x14ac:dyDescent="0.15">
      <c r="A329" t="s">
        <v>3426</v>
      </c>
      <c r="B329">
        <v>25</v>
      </c>
      <c r="C329">
        <v>842</v>
      </c>
      <c r="D329">
        <v>606</v>
      </c>
      <c r="E329">
        <v>3125</v>
      </c>
      <c r="F329">
        <v>1118</v>
      </c>
      <c r="G329">
        <v>1702</v>
      </c>
      <c r="H329" t="s">
        <v>988</v>
      </c>
      <c r="I329" t="s">
        <v>989</v>
      </c>
      <c r="J329" t="e">
        <v>#N/A</v>
      </c>
    </row>
    <row r="330" spans="1:10" x14ac:dyDescent="0.15">
      <c r="A330" t="s">
        <v>3427</v>
      </c>
      <c r="B330">
        <v>896</v>
      </c>
      <c r="C330" t="s">
        <v>69</v>
      </c>
      <c r="D330" t="s">
        <v>69</v>
      </c>
      <c r="E330">
        <v>3242</v>
      </c>
      <c r="F330">
        <v>654</v>
      </c>
      <c r="G330">
        <v>167</v>
      </c>
      <c r="H330" t="s">
        <v>990</v>
      </c>
      <c r="I330" t="s">
        <v>991</v>
      </c>
      <c r="J330" t="e">
        <v>#N/A</v>
      </c>
    </row>
    <row r="331" spans="1:10" x14ac:dyDescent="0.15">
      <c r="A331" t="s">
        <v>3428</v>
      </c>
      <c r="B331">
        <v>1027</v>
      </c>
      <c r="C331" t="s">
        <v>69</v>
      </c>
      <c r="D331">
        <v>812</v>
      </c>
      <c r="E331">
        <v>3241</v>
      </c>
      <c r="F331">
        <v>654</v>
      </c>
      <c r="G331">
        <v>167</v>
      </c>
      <c r="H331" t="s">
        <v>992</v>
      </c>
      <c r="I331" t="s">
        <v>993</v>
      </c>
      <c r="J331" t="e">
        <v>#N/A</v>
      </c>
    </row>
    <row r="332" spans="1:10" x14ac:dyDescent="0.15">
      <c r="A332" t="s">
        <v>3429</v>
      </c>
      <c r="B332">
        <v>1018</v>
      </c>
      <c r="C332" t="s">
        <v>69</v>
      </c>
      <c r="D332">
        <v>810</v>
      </c>
      <c r="E332">
        <v>3084</v>
      </c>
      <c r="F332">
        <v>236</v>
      </c>
      <c r="G332">
        <v>1602</v>
      </c>
      <c r="H332" t="s">
        <v>994</v>
      </c>
      <c r="I332" t="s">
        <v>995</v>
      </c>
      <c r="J332" t="e">
        <v>#N/A</v>
      </c>
    </row>
    <row r="333" spans="1:10" x14ac:dyDescent="0.15">
      <c r="A333" t="s">
        <v>3430</v>
      </c>
      <c r="B333" t="s">
        <v>996</v>
      </c>
      <c r="C333" t="s">
        <v>69</v>
      </c>
      <c r="D333">
        <v>2610</v>
      </c>
      <c r="E333">
        <v>3081</v>
      </c>
      <c r="F333">
        <v>234</v>
      </c>
      <c r="G333">
        <v>1601</v>
      </c>
      <c r="H333" t="s">
        <v>997</v>
      </c>
      <c r="I333" t="s">
        <v>998</v>
      </c>
      <c r="J333" t="e">
        <v>#N/A</v>
      </c>
    </row>
    <row r="334" spans="1:10" x14ac:dyDescent="0.15">
      <c r="A334" t="s">
        <v>3431</v>
      </c>
      <c r="B334">
        <v>76</v>
      </c>
      <c r="C334" t="s">
        <v>69</v>
      </c>
      <c r="D334">
        <v>506</v>
      </c>
      <c r="E334">
        <v>3283</v>
      </c>
      <c r="F334">
        <v>814</v>
      </c>
      <c r="G334">
        <v>1034</v>
      </c>
      <c r="H334" t="s">
        <v>999</v>
      </c>
      <c r="I334" t="s">
        <v>1000</v>
      </c>
      <c r="J334" t="e">
        <v>#N/A</v>
      </c>
    </row>
    <row r="335" spans="1:10" x14ac:dyDescent="0.15">
      <c r="A335" t="s">
        <v>3432</v>
      </c>
      <c r="B335">
        <v>75</v>
      </c>
      <c r="C335" t="s">
        <v>69</v>
      </c>
      <c r="D335">
        <v>813</v>
      </c>
      <c r="E335">
        <v>3282</v>
      </c>
      <c r="F335">
        <v>813</v>
      </c>
      <c r="G335">
        <v>1703</v>
      </c>
      <c r="H335" t="s">
        <v>1001</v>
      </c>
      <c r="I335" t="s">
        <v>1002</v>
      </c>
      <c r="J335" t="e">
        <v>#N/A</v>
      </c>
    </row>
    <row r="336" spans="1:10" x14ac:dyDescent="0.15">
      <c r="A336" t="s">
        <v>3433</v>
      </c>
      <c r="B336" t="s">
        <v>1003</v>
      </c>
      <c r="C336">
        <v>871</v>
      </c>
      <c r="D336">
        <v>2614</v>
      </c>
      <c r="E336">
        <v>4223</v>
      </c>
      <c r="F336">
        <v>236</v>
      </c>
      <c r="G336">
        <v>1603</v>
      </c>
      <c r="H336" t="s">
        <v>1004</v>
      </c>
      <c r="I336" t="s">
        <v>1005</v>
      </c>
      <c r="J336" t="e">
        <v>#N/A</v>
      </c>
    </row>
    <row r="337" spans="1:10" x14ac:dyDescent="0.15">
      <c r="A337" t="s">
        <v>3434</v>
      </c>
      <c r="B337">
        <v>869</v>
      </c>
      <c r="C337" t="s">
        <v>69</v>
      </c>
      <c r="D337">
        <v>2611</v>
      </c>
      <c r="E337">
        <v>4220</v>
      </c>
      <c r="F337">
        <v>235</v>
      </c>
      <c r="G337">
        <v>625</v>
      </c>
      <c r="H337" t="s">
        <v>1006</v>
      </c>
      <c r="I337" t="s">
        <v>1007</v>
      </c>
      <c r="J337" t="e">
        <v>#N/A</v>
      </c>
    </row>
    <row r="338" spans="1:10" x14ac:dyDescent="0.15">
      <c r="A338" t="s">
        <v>3435</v>
      </c>
      <c r="B338">
        <v>1030</v>
      </c>
      <c r="C338" t="s">
        <v>69</v>
      </c>
      <c r="D338">
        <v>903</v>
      </c>
      <c r="E338" t="s">
        <v>69</v>
      </c>
      <c r="F338">
        <v>324</v>
      </c>
      <c r="G338">
        <v>625</v>
      </c>
      <c r="H338" t="s">
        <v>1008</v>
      </c>
      <c r="I338" t="s">
        <v>1009</v>
      </c>
      <c r="J338" t="e">
        <v>#N/A</v>
      </c>
    </row>
    <row r="339" spans="1:10" x14ac:dyDescent="0.15">
      <c r="A339" t="s">
        <v>3436</v>
      </c>
      <c r="B339">
        <v>120</v>
      </c>
      <c r="C339">
        <v>878</v>
      </c>
      <c r="D339">
        <v>907</v>
      </c>
      <c r="E339">
        <v>7004</v>
      </c>
      <c r="F339">
        <v>662</v>
      </c>
      <c r="G339">
        <v>611</v>
      </c>
      <c r="H339" t="s">
        <v>1010</v>
      </c>
      <c r="I339" t="s">
        <v>1011</v>
      </c>
      <c r="J339" t="e">
        <v>#N/A</v>
      </c>
    </row>
    <row r="340" spans="1:10" x14ac:dyDescent="0.15">
      <c r="A340" t="s">
        <v>3437</v>
      </c>
      <c r="B340">
        <v>1036</v>
      </c>
      <c r="C340" t="s">
        <v>69</v>
      </c>
      <c r="D340" t="s">
        <v>69</v>
      </c>
      <c r="E340">
        <v>7980</v>
      </c>
      <c r="F340">
        <v>735</v>
      </c>
      <c r="G340">
        <v>318</v>
      </c>
      <c r="H340" t="s">
        <v>1012</v>
      </c>
      <c r="I340" t="s">
        <v>1013</v>
      </c>
      <c r="J340" t="e">
        <v>#N/A</v>
      </c>
    </row>
    <row r="341" spans="1:10" x14ac:dyDescent="0.15">
      <c r="A341" t="s">
        <v>3438</v>
      </c>
      <c r="B341" t="s">
        <v>1014</v>
      </c>
      <c r="C341">
        <v>888</v>
      </c>
      <c r="D341">
        <v>1001</v>
      </c>
      <c r="E341">
        <v>7876</v>
      </c>
      <c r="F341">
        <v>731</v>
      </c>
      <c r="G341">
        <v>310</v>
      </c>
      <c r="H341" t="s">
        <v>1015</v>
      </c>
      <c r="I341" t="s">
        <v>1016</v>
      </c>
      <c r="J341" t="e">
        <v>#N/A</v>
      </c>
    </row>
    <row r="342" spans="1:10" x14ac:dyDescent="0.15">
      <c r="A342" t="s">
        <v>3439</v>
      </c>
      <c r="B342" t="s">
        <v>1017</v>
      </c>
      <c r="C342" t="s">
        <v>69</v>
      </c>
      <c r="D342">
        <v>1001</v>
      </c>
      <c r="E342">
        <v>7031</v>
      </c>
      <c r="F342">
        <v>730</v>
      </c>
      <c r="G342">
        <v>331</v>
      </c>
      <c r="H342" t="s">
        <v>1018</v>
      </c>
      <c r="I342" t="s">
        <v>1019</v>
      </c>
      <c r="J342" t="e">
        <v>#N/A</v>
      </c>
    </row>
    <row r="343" spans="1:10" x14ac:dyDescent="0.15">
      <c r="A343" t="s">
        <v>3440</v>
      </c>
      <c r="B343" t="s">
        <v>1020</v>
      </c>
      <c r="C343" t="s">
        <v>69</v>
      </c>
      <c r="D343" t="s">
        <v>69</v>
      </c>
      <c r="E343">
        <v>7021</v>
      </c>
      <c r="F343">
        <v>164</v>
      </c>
      <c r="G343">
        <v>353</v>
      </c>
      <c r="H343" t="s">
        <v>1021</v>
      </c>
      <c r="I343" t="s">
        <v>1022</v>
      </c>
      <c r="J343" t="e">
        <v>#N/A</v>
      </c>
    </row>
    <row r="344" spans="1:10" x14ac:dyDescent="0.15">
      <c r="A344" t="s">
        <v>3441</v>
      </c>
      <c r="B344" t="s">
        <v>1023</v>
      </c>
      <c r="C344">
        <v>886</v>
      </c>
      <c r="D344">
        <v>2504</v>
      </c>
      <c r="E344">
        <v>7975</v>
      </c>
      <c r="F344">
        <v>211</v>
      </c>
      <c r="G344">
        <v>361</v>
      </c>
      <c r="H344" t="s">
        <v>1024</v>
      </c>
      <c r="I344" t="s">
        <v>1025</v>
      </c>
      <c r="J344" t="e">
        <v>#N/A</v>
      </c>
    </row>
    <row r="345" spans="1:10" x14ac:dyDescent="0.15">
      <c r="A345" t="s">
        <v>3442</v>
      </c>
      <c r="B345">
        <v>169</v>
      </c>
      <c r="C345">
        <v>900</v>
      </c>
      <c r="D345">
        <v>1012</v>
      </c>
      <c r="E345">
        <v>7161</v>
      </c>
      <c r="F345">
        <v>2253</v>
      </c>
      <c r="G345">
        <v>385</v>
      </c>
      <c r="H345" t="s">
        <v>1026</v>
      </c>
      <c r="I345" t="s">
        <v>1027</v>
      </c>
      <c r="J345" t="e">
        <v>#N/A</v>
      </c>
    </row>
    <row r="346" spans="1:10" x14ac:dyDescent="0.15">
      <c r="A346" t="s">
        <v>3443</v>
      </c>
      <c r="B346">
        <v>928</v>
      </c>
      <c r="C346" t="s">
        <v>69</v>
      </c>
      <c r="D346" t="s">
        <v>69</v>
      </c>
      <c r="E346" t="s">
        <v>69</v>
      </c>
      <c r="F346">
        <v>252</v>
      </c>
      <c r="G346">
        <v>3835</v>
      </c>
      <c r="H346" t="s">
        <v>1028</v>
      </c>
      <c r="I346" t="s">
        <v>1029</v>
      </c>
      <c r="J346" t="e">
        <v>#N/A</v>
      </c>
    </row>
    <row r="347" spans="1:10" x14ac:dyDescent="0.15">
      <c r="A347" t="s">
        <v>3444</v>
      </c>
      <c r="B347" t="s">
        <v>1030</v>
      </c>
      <c r="C347">
        <v>900</v>
      </c>
      <c r="D347">
        <v>2506</v>
      </c>
      <c r="E347">
        <v>7162</v>
      </c>
      <c r="F347">
        <v>254</v>
      </c>
      <c r="G347">
        <v>386</v>
      </c>
      <c r="H347" t="s">
        <v>1031</v>
      </c>
      <c r="I347" t="s">
        <v>1032</v>
      </c>
      <c r="J347" t="e">
        <v>#N/A</v>
      </c>
    </row>
    <row r="348" spans="1:10" x14ac:dyDescent="0.15">
      <c r="A348" t="s">
        <v>3445</v>
      </c>
      <c r="B348">
        <v>167</v>
      </c>
      <c r="C348">
        <v>899</v>
      </c>
      <c r="D348">
        <v>1111</v>
      </c>
      <c r="E348" t="s">
        <v>69</v>
      </c>
      <c r="F348">
        <v>252</v>
      </c>
      <c r="G348">
        <v>390</v>
      </c>
      <c r="H348" t="s">
        <v>1033</v>
      </c>
      <c r="I348" t="s">
        <v>1034</v>
      </c>
      <c r="J348" t="e">
        <v>#N/A</v>
      </c>
    </row>
    <row r="349" spans="1:10" x14ac:dyDescent="0.15">
      <c r="A349" t="s">
        <v>3446</v>
      </c>
      <c r="B349" t="s">
        <v>1035</v>
      </c>
      <c r="C349" t="s">
        <v>69</v>
      </c>
      <c r="D349" t="s">
        <v>69</v>
      </c>
      <c r="E349">
        <v>7052</v>
      </c>
      <c r="F349">
        <v>982</v>
      </c>
      <c r="G349">
        <v>342</v>
      </c>
      <c r="H349" t="s">
        <v>1036</v>
      </c>
      <c r="I349" t="s">
        <v>1037</v>
      </c>
      <c r="J349" t="e">
        <v>#N/A</v>
      </c>
    </row>
    <row r="350" spans="1:10" x14ac:dyDescent="0.15">
      <c r="A350" t="s">
        <v>3447</v>
      </c>
      <c r="B350">
        <v>1009</v>
      </c>
      <c r="C350">
        <v>978</v>
      </c>
      <c r="D350">
        <v>2314</v>
      </c>
      <c r="E350">
        <v>3334</v>
      </c>
      <c r="F350">
        <v>340</v>
      </c>
      <c r="G350">
        <v>731</v>
      </c>
      <c r="H350" t="s">
        <v>1038</v>
      </c>
      <c r="I350" t="s">
        <v>1039</v>
      </c>
      <c r="J350" t="e">
        <v>#N/A</v>
      </c>
    </row>
    <row r="351" spans="1:10" x14ac:dyDescent="0.15">
      <c r="A351" t="s">
        <v>3448</v>
      </c>
      <c r="B351">
        <v>1007</v>
      </c>
      <c r="C351" t="s">
        <v>69</v>
      </c>
      <c r="D351">
        <v>2311</v>
      </c>
      <c r="E351">
        <v>5579</v>
      </c>
      <c r="F351">
        <v>425</v>
      </c>
      <c r="G351">
        <v>744</v>
      </c>
      <c r="H351" t="s">
        <v>1040</v>
      </c>
      <c r="I351" t="s">
        <v>1041</v>
      </c>
      <c r="J351" t="e">
        <v>#N/A</v>
      </c>
    </row>
    <row r="352" spans="1:10" x14ac:dyDescent="0.15">
      <c r="A352" t="s">
        <v>1042</v>
      </c>
      <c r="B352">
        <v>1008</v>
      </c>
      <c r="C352" t="s">
        <v>69</v>
      </c>
      <c r="D352">
        <v>2311</v>
      </c>
      <c r="E352" t="s">
        <v>69</v>
      </c>
      <c r="F352">
        <v>424</v>
      </c>
      <c r="G352">
        <v>765</v>
      </c>
      <c r="H352" t="s">
        <v>1043</v>
      </c>
      <c r="I352" t="s">
        <v>1044</v>
      </c>
      <c r="J352" t="e">
        <v>#N/A</v>
      </c>
    </row>
    <row r="353" spans="1:10" x14ac:dyDescent="0.15">
      <c r="A353" t="s">
        <v>3449</v>
      </c>
      <c r="B353" t="s">
        <v>1045</v>
      </c>
      <c r="C353" t="s">
        <v>69</v>
      </c>
      <c r="D353">
        <v>2308</v>
      </c>
      <c r="E353">
        <v>2336</v>
      </c>
      <c r="F353">
        <v>423</v>
      </c>
      <c r="G353">
        <v>733</v>
      </c>
      <c r="H353" t="s">
        <v>1046</v>
      </c>
      <c r="I353" t="s">
        <v>1047</v>
      </c>
      <c r="J353" t="e">
        <v>#N/A</v>
      </c>
    </row>
    <row r="354" spans="1:10" x14ac:dyDescent="0.15">
      <c r="A354" t="s">
        <v>3450</v>
      </c>
      <c r="B354" t="s">
        <v>1048</v>
      </c>
      <c r="C354" t="s">
        <v>69</v>
      </c>
      <c r="D354">
        <v>310</v>
      </c>
      <c r="E354">
        <v>3336</v>
      </c>
      <c r="F354">
        <v>2186</v>
      </c>
      <c r="G354">
        <v>784</v>
      </c>
      <c r="H354" t="s">
        <v>1049</v>
      </c>
      <c r="I354" t="s">
        <v>1050</v>
      </c>
      <c r="J354" t="e">
        <v>#N/A</v>
      </c>
    </row>
    <row r="355" spans="1:10" x14ac:dyDescent="0.15">
      <c r="A355" t="s">
        <v>3451</v>
      </c>
      <c r="B355">
        <v>1015</v>
      </c>
      <c r="C355" t="s">
        <v>69</v>
      </c>
      <c r="D355">
        <v>2502</v>
      </c>
      <c r="E355">
        <v>2339</v>
      </c>
      <c r="F355">
        <v>467</v>
      </c>
      <c r="G355">
        <v>769</v>
      </c>
      <c r="H355" t="s">
        <v>1051</v>
      </c>
      <c r="I355" t="s">
        <v>1052</v>
      </c>
      <c r="J355" t="e">
        <v>#N/A</v>
      </c>
    </row>
    <row r="356" spans="1:10" x14ac:dyDescent="0.15">
      <c r="A356" t="s">
        <v>3452</v>
      </c>
      <c r="B356" t="s">
        <v>1053</v>
      </c>
      <c r="C356">
        <v>968</v>
      </c>
      <c r="D356">
        <v>403</v>
      </c>
      <c r="E356">
        <v>2338</v>
      </c>
      <c r="F356">
        <v>464</v>
      </c>
      <c r="G356">
        <v>767</v>
      </c>
      <c r="H356" t="s">
        <v>1054</v>
      </c>
      <c r="I356" t="s">
        <v>1055</v>
      </c>
      <c r="J356" t="e">
        <v>#N/A</v>
      </c>
    </row>
    <row r="357" spans="1:10" x14ac:dyDescent="0.15">
      <c r="A357" t="s">
        <v>3453</v>
      </c>
      <c r="B357">
        <v>868</v>
      </c>
      <c r="C357">
        <v>967</v>
      </c>
      <c r="D357">
        <v>2605</v>
      </c>
      <c r="E357">
        <v>2337</v>
      </c>
      <c r="F357">
        <v>461</v>
      </c>
      <c r="G357">
        <v>765</v>
      </c>
      <c r="H357" t="s">
        <v>1056</v>
      </c>
      <c r="I357" t="s">
        <v>1057</v>
      </c>
      <c r="J357" t="e">
        <v>#N/A</v>
      </c>
    </row>
    <row r="358" spans="1:10" x14ac:dyDescent="0.15">
      <c r="A358" t="s">
        <v>3454</v>
      </c>
      <c r="B358">
        <v>1050</v>
      </c>
      <c r="C358" t="s">
        <v>69</v>
      </c>
      <c r="D358">
        <v>2106</v>
      </c>
      <c r="E358">
        <v>5475</v>
      </c>
      <c r="F358">
        <v>369</v>
      </c>
      <c r="G358">
        <v>815</v>
      </c>
      <c r="H358" t="s">
        <v>1058</v>
      </c>
      <c r="J358" t="e">
        <v>#N/A</v>
      </c>
    </row>
    <row r="359" spans="1:10" x14ac:dyDescent="0.15">
      <c r="A359" t="s">
        <v>3455</v>
      </c>
      <c r="B359">
        <v>899</v>
      </c>
      <c r="C359" t="s">
        <v>69</v>
      </c>
      <c r="D359">
        <v>1911</v>
      </c>
      <c r="E359">
        <v>5388</v>
      </c>
      <c r="F359">
        <v>366</v>
      </c>
      <c r="G359">
        <v>812</v>
      </c>
      <c r="H359" t="s">
        <v>1059</v>
      </c>
      <c r="I359" t="s">
        <v>1060</v>
      </c>
      <c r="J359" t="e">
        <v>#N/A</v>
      </c>
    </row>
    <row r="360" spans="1:10" x14ac:dyDescent="0.15">
      <c r="A360" t="s">
        <v>3456</v>
      </c>
      <c r="B360">
        <v>273</v>
      </c>
      <c r="C360">
        <v>987</v>
      </c>
      <c r="D360" t="s">
        <v>69</v>
      </c>
      <c r="E360">
        <v>5395</v>
      </c>
      <c r="F360">
        <v>894</v>
      </c>
      <c r="G360">
        <v>815</v>
      </c>
      <c r="H360" t="s">
        <v>1061</v>
      </c>
      <c r="I360" t="s">
        <v>1062</v>
      </c>
      <c r="J360" t="e">
        <v>#N/A</v>
      </c>
    </row>
    <row r="361" spans="1:10" x14ac:dyDescent="0.15">
      <c r="A361" t="s">
        <v>3457</v>
      </c>
      <c r="B361" t="s">
        <v>1063</v>
      </c>
      <c r="C361" t="s">
        <v>69</v>
      </c>
      <c r="D361">
        <v>1905</v>
      </c>
      <c r="E361">
        <v>5393</v>
      </c>
      <c r="F361">
        <v>844</v>
      </c>
      <c r="G361">
        <v>815</v>
      </c>
      <c r="H361" t="s">
        <v>1064</v>
      </c>
      <c r="I361" t="s">
        <v>1065</v>
      </c>
      <c r="J361" t="e">
        <v>#N/A</v>
      </c>
    </row>
    <row r="362" spans="1:10" x14ac:dyDescent="0.15">
      <c r="A362" t="s">
        <v>3458</v>
      </c>
      <c r="B362">
        <v>236</v>
      </c>
      <c r="C362" t="s">
        <v>69</v>
      </c>
      <c r="D362">
        <v>1713</v>
      </c>
      <c r="E362">
        <v>8999</v>
      </c>
      <c r="F362">
        <v>155</v>
      </c>
      <c r="G362">
        <v>488</v>
      </c>
      <c r="H362" t="s">
        <v>1066</v>
      </c>
      <c r="I362" t="s">
        <v>1067</v>
      </c>
      <c r="J362" t="e">
        <v>#N/A</v>
      </c>
    </row>
    <row r="363" spans="1:10" x14ac:dyDescent="0.15">
      <c r="A363" t="s">
        <v>3459</v>
      </c>
      <c r="B363">
        <v>1098</v>
      </c>
      <c r="C363" t="s">
        <v>69</v>
      </c>
      <c r="D363">
        <v>411</v>
      </c>
      <c r="E363">
        <v>3012</v>
      </c>
      <c r="F363">
        <v>206</v>
      </c>
      <c r="G363">
        <v>167</v>
      </c>
      <c r="H363" t="s">
        <v>1068</v>
      </c>
      <c r="I363" t="s">
        <v>1069</v>
      </c>
      <c r="J363" t="e">
        <v>#N/A</v>
      </c>
    </row>
    <row r="364" spans="1:10" x14ac:dyDescent="0.15">
      <c r="A364" t="s">
        <v>3460</v>
      </c>
      <c r="B364">
        <v>1019</v>
      </c>
      <c r="C364" t="s">
        <v>69</v>
      </c>
      <c r="D364">
        <v>810</v>
      </c>
      <c r="E364">
        <v>3082</v>
      </c>
      <c r="F364">
        <v>236</v>
      </c>
      <c r="G364">
        <v>1603</v>
      </c>
      <c r="H364" t="s">
        <v>1070</v>
      </c>
      <c r="I364" t="s">
        <v>1071</v>
      </c>
      <c r="J364" t="e">
        <v>#N/A</v>
      </c>
    </row>
    <row r="365" spans="1:10" x14ac:dyDescent="0.15">
      <c r="A365" t="s">
        <v>3461</v>
      </c>
      <c r="B365" t="s">
        <v>1072</v>
      </c>
      <c r="C365" t="s">
        <v>69</v>
      </c>
      <c r="D365">
        <v>2609</v>
      </c>
      <c r="E365" t="s">
        <v>69</v>
      </c>
      <c r="F365">
        <v>2224</v>
      </c>
      <c r="G365">
        <v>1906</v>
      </c>
      <c r="H365" t="s">
        <v>1073</v>
      </c>
      <c r="I365" t="s">
        <v>1074</v>
      </c>
      <c r="J365" t="e">
        <v>#N/A</v>
      </c>
    </row>
    <row r="366" spans="1:10" x14ac:dyDescent="0.15">
      <c r="A366" t="s">
        <v>3462</v>
      </c>
      <c r="B366">
        <v>68</v>
      </c>
      <c r="C366" t="s">
        <v>69</v>
      </c>
      <c r="D366">
        <v>703</v>
      </c>
      <c r="E366" t="s">
        <v>69</v>
      </c>
      <c r="F366">
        <v>506</v>
      </c>
      <c r="G366">
        <v>129</v>
      </c>
      <c r="H366" t="s">
        <v>1075</v>
      </c>
      <c r="I366" t="s">
        <v>1076</v>
      </c>
      <c r="J366" t="e">
        <v>#N/A</v>
      </c>
    </row>
    <row r="367" spans="1:10" x14ac:dyDescent="0.15">
      <c r="A367" t="s">
        <v>3463</v>
      </c>
      <c r="B367">
        <v>62</v>
      </c>
      <c r="C367" t="s">
        <v>69</v>
      </c>
      <c r="D367">
        <v>702</v>
      </c>
      <c r="E367">
        <v>3063</v>
      </c>
      <c r="F367">
        <v>504</v>
      </c>
      <c r="G367">
        <v>126</v>
      </c>
      <c r="H367" t="s">
        <v>1077</v>
      </c>
      <c r="I367" t="s">
        <v>1078</v>
      </c>
      <c r="J367" t="e">
        <v>#N/A</v>
      </c>
    </row>
    <row r="368" spans="1:10" x14ac:dyDescent="0.15">
      <c r="A368" t="s">
        <v>3464</v>
      </c>
      <c r="B368">
        <v>62</v>
      </c>
      <c r="C368" t="s">
        <v>69</v>
      </c>
      <c r="D368">
        <v>701</v>
      </c>
      <c r="E368">
        <v>3001</v>
      </c>
      <c r="F368">
        <v>503</v>
      </c>
      <c r="G368">
        <v>125</v>
      </c>
      <c r="H368" t="s">
        <v>1079</v>
      </c>
      <c r="I368" t="s">
        <v>1080</v>
      </c>
      <c r="J368" t="e">
        <v>#N/A</v>
      </c>
    </row>
    <row r="369" spans="1:10" x14ac:dyDescent="0.15">
      <c r="A369" t="s">
        <v>3465</v>
      </c>
      <c r="B369">
        <v>122</v>
      </c>
      <c r="C369" t="s">
        <v>69</v>
      </c>
      <c r="D369">
        <v>2702</v>
      </c>
      <c r="E369">
        <v>7150</v>
      </c>
      <c r="F369">
        <v>2664</v>
      </c>
      <c r="G369">
        <v>615</v>
      </c>
      <c r="H369" t="s">
        <v>1081</v>
      </c>
      <c r="I369" t="s">
        <v>1082</v>
      </c>
      <c r="J369" t="e">
        <v>#N/A</v>
      </c>
    </row>
    <row r="370" spans="1:10" x14ac:dyDescent="0.15">
      <c r="A370" t="s">
        <v>3466</v>
      </c>
      <c r="B370">
        <v>1068</v>
      </c>
      <c r="C370">
        <v>906</v>
      </c>
      <c r="D370">
        <v>2507</v>
      </c>
      <c r="E370" t="s">
        <v>69</v>
      </c>
      <c r="F370">
        <v>376</v>
      </c>
      <c r="G370">
        <v>343</v>
      </c>
      <c r="H370" t="s">
        <v>1083</v>
      </c>
      <c r="I370" t="s">
        <v>1084</v>
      </c>
      <c r="J370" t="e">
        <v>#N/A</v>
      </c>
    </row>
    <row r="371" spans="1:10" x14ac:dyDescent="0.15">
      <c r="A371" t="s">
        <v>3467</v>
      </c>
      <c r="B371">
        <v>1066</v>
      </c>
      <c r="C371" t="s">
        <v>69</v>
      </c>
      <c r="D371">
        <v>2506</v>
      </c>
      <c r="E371" t="s">
        <v>69</v>
      </c>
      <c r="F371">
        <v>375</v>
      </c>
      <c r="G371">
        <v>434</v>
      </c>
      <c r="H371" t="s">
        <v>1085</v>
      </c>
      <c r="I371" t="s">
        <v>1086</v>
      </c>
      <c r="J371" t="e">
        <v>#N/A</v>
      </c>
    </row>
    <row r="372" spans="1:10" x14ac:dyDescent="0.15">
      <c r="A372" t="s">
        <v>3468</v>
      </c>
      <c r="B372">
        <v>168</v>
      </c>
      <c r="C372">
        <v>905</v>
      </c>
      <c r="D372">
        <v>1108</v>
      </c>
      <c r="E372" t="s">
        <v>69</v>
      </c>
      <c r="F372">
        <v>374</v>
      </c>
      <c r="G372">
        <v>391</v>
      </c>
      <c r="H372" t="s">
        <v>1087</v>
      </c>
      <c r="I372" t="s">
        <v>1088</v>
      </c>
      <c r="J372" t="e">
        <v>#N/A</v>
      </c>
    </row>
    <row r="373" spans="1:10" x14ac:dyDescent="0.15">
      <c r="A373" t="s">
        <v>3469</v>
      </c>
      <c r="B373">
        <v>1060</v>
      </c>
      <c r="C373" t="s">
        <v>69</v>
      </c>
      <c r="D373">
        <v>1101</v>
      </c>
      <c r="E373" t="s">
        <v>69</v>
      </c>
      <c r="F373">
        <v>371</v>
      </c>
      <c r="G373">
        <v>2040</v>
      </c>
      <c r="H373" t="s">
        <v>1089</v>
      </c>
      <c r="I373" t="s">
        <v>1090</v>
      </c>
      <c r="J373" t="e">
        <v>#N/A</v>
      </c>
    </row>
    <row r="374" spans="1:10" x14ac:dyDescent="0.15">
      <c r="A374" t="s">
        <v>3470</v>
      </c>
      <c r="B374">
        <v>188</v>
      </c>
      <c r="C374">
        <v>904</v>
      </c>
      <c r="D374">
        <v>2706</v>
      </c>
      <c r="E374" t="s">
        <v>69</v>
      </c>
      <c r="F374">
        <v>900</v>
      </c>
      <c r="G374">
        <v>222</v>
      </c>
      <c r="H374" t="s">
        <v>1091</v>
      </c>
      <c r="I374" t="s">
        <v>1092</v>
      </c>
      <c r="J374" t="e">
        <v>#N/A</v>
      </c>
    </row>
    <row r="375" spans="1:10" x14ac:dyDescent="0.15">
      <c r="A375" t="s">
        <v>3471</v>
      </c>
      <c r="B375">
        <v>875</v>
      </c>
      <c r="C375">
        <v>923</v>
      </c>
      <c r="D375">
        <v>111</v>
      </c>
      <c r="E375">
        <v>6875</v>
      </c>
      <c r="F375">
        <v>533</v>
      </c>
      <c r="G375">
        <v>201</v>
      </c>
      <c r="H375" t="s">
        <v>1093</v>
      </c>
      <c r="I375" t="s">
        <v>1094</v>
      </c>
      <c r="J375" t="e">
        <v>#N/A</v>
      </c>
    </row>
    <row r="376" spans="1:10" x14ac:dyDescent="0.15">
      <c r="A376" t="s">
        <v>3472</v>
      </c>
      <c r="B376">
        <v>1074</v>
      </c>
      <c r="C376">
        <v>911</v>
      </c>
      <c r="D376">
        <v>1203</v>
      </c>
      <c r="E376" t="s">
        <v>69</v>
      </c>
      <c r="F376">
        <v>845</v>
      </c>
      <c r="G376">
        <v>255</v>
      </c>
      <c r="H376" t="s">
        <v>1095</v>
      </c>
      <c r="I376" t="s">
        <v>1096</v>
      </c>
      <c r="J376" t="e">
        <v>#N/A</v>
      </c>
    </row>
    <row r="377" spans="1:10" x14ac:dyDescent="0.15">
      <c r="A377" t="s">
        <v>3473</v>
      </c>
      <c r="B377">
        <v>877</v>
      </c>
      <c r="C377">
        <v>920</v>
      </c>
      <c r="D377">
        <v>1205</v>
      </c>
      <c r="E377" t="s">
        <v>69</v>
      </c>
      <c r="F377">
        <v>536</v>
      </c>
      <c r="G377">
        <v>203</v>
      </c>
      <c r="H377" t="s">
        <v>1097</v>
      </c>
      <c r="I377" t="s">
        <v>1098</v>
      </c>
      <c r="J377" t="e">
        <v>#N/A</v>
      </c>
    </row>
    <row r="378" spans="1:10" x14ac:dyDescent="0.15">
      <c r="A378" t="s">
        <v>3474</v>
      </c>
      <c r="B378">
        <v>876</v>
      </c>
      <c r="C378">
        <v>924</v>
      </c>
      <c r="D378">
        <v>1702</v>
      </c>
      <c r="E378">
        <v>6879</v>
      </c>
      <c r="F378">
        <v>534</v>
      </c>
      <c r="G378">
        <v>202</v>
      </c>
      <c r="H378" t="s">
        <v>1099</v>
      </c>
      <c r="I378" t="s">
        <v>1100</v>
      </c>
      <c r="J378" t="e">
        <v>#N/A</v>
      </c>
    </row>
    <row r="379" spans="1:10" x14ac:dyDescent="0.15">
      <c r="A379" t="s">
        <v>3475</v>
      </c>
      <c r="B379">
        <v>875</v>
      </c>
      <c r="C379">
        <v>919</v>
      </c>
      <c r="D379">
        <v>1111</v>
      </c>
      <c r="E379" t="s">
        <v>69</v>
      </c>
      <c r="F379">
        <v>2533</v>
      </c>
      <c r="G379">
        <v>201</v>
      </c>
      <c r="H379" t="s">
        <v>1101</v>
      </c>
      <c r="I379" t="s">
        <v>1102</v>
      </c>
      <c r="J379" t="e">
        <v>#N/A</v>
      </c>
    </row>
    <row r="380" spans="1:10" x14ac:dyDescent="0.15">
      <c r="A380" t="s">
        <v>3476</v>
      </c>
      <c r="B380">
        <v>211</v>
      </c>
      <c r="C380" t="s">
        <v>69</v>
      </c>
      <c r="D380">
        <v>2704</v>
      </c>
      <c r="E380">
        <v>6228</v>
      </c>
      <c r="F380">
        <v>2536</v>
      </c>
      <c r="G380">
        <v>257</v>
      </c>
      <c r="H380" t="s">
        <v>1103</v>
      </c>
      <c r="I380" t="s">
        <v>1104</v>
      </c>
      <c r="J380" t="e">
        <v>#N/A</v>
      </c>
    </row>
    <row r="381" spans="1:10" x14ac:dyDescent="0.15">
      <c r="A381" t="s">
        <v>3477</v>
      </c>
      <c r="B381">
        <v>278</v>
      </c>
      <c r="C381">
        <v>948</v>
      </c>
      <c r="D381">
        <v>2703</v>
      </c>
      <c r="E381" t="s">
        <v>69</v>
      </c>
      <c r="F381">
        <v>325</v>
      </c>
      <c r="G381">
        <v>283</v>
      </c>
      <c r="H381" t="s">
        <v>1105</v>
      </c>
      <c r="I381" t="s">
        <v>1106</v>
      </c>
      <c r="J381" t="e">
        <v>#N/A</v>
      </c>
    </row>
    <row r="382" spans="1:10" x14ac:dyDescent="0.15">
      <c r="A382" t="s">
        <v>3478</v>
      </c>
      <c r="B382">
        <v>306</v>
      </c>
      <c r="C382" t="s">
        <v>69</v>
      </c>
      <c r="D382">
        <v>2509</v>
      </c>
      <c r="E382">
        <v>5363</v>
      </c>
      <c r="F382">
        <v>2702</v>
      </c>
      <c r="G382">
        <v>512</v>
      </c>
      <c r="H382" t="s">
        <v>1107</v>
      </c>
      <c r="I382" t="s">
        <v>1108</v>
      </c>
      <c r="J382" t="e">
        <v>#N/A</v>
      </c>
    </row>
    <row r="383" spans="1:10" x14ac:dyDescent="0.15">
      <c r="A383" t="s">
        <v>3479</v>
      </c>
      <c r="B383">
        <v>305</v>
      </c>
      <c r="C383">
        <v>808</v>
      </c>
      <c r="D383">
        <v>2510</v>
      </c>
      <c r="E383">
        <v>2410</v>
      </c>
      <c r="F383">
        <v>702</v>
      </c>
      <c r="G383">
        <v>563</v>
      </c>
      <c r="H383" t="s">
        <v>1109</v>
      </c>
      <c r="I383" t="s">
        <v>1110</v>
      </c>
      <c r="J383" t="e">
        <v>#N/A</v>
      </c>
    </row>
    <row r="384" spans="1:10" x14ac:dyDescent="0.15">
      <c r="A384" t="s">
        <v>3480</v>
      </c>
      <c r="B384">
        <v>295</v>
      </c>
      <c r="C384">
        <v>807</v>
      </c>
      <c r="D384">
        <v>2511</v>
      </c>
      <c r="E384" t="s">
        <v>69</v>
      </c>
      <c r="F384">
        <v>700</v>
      </c>
      <c r="G384">
        <v>521</v>
      </c>
      <c r="H384" t="s">
        <v>1111</v>
      </c>
      <c r="I384" t="s">
        <v>1112</v>
      </c>
      <c r="J384" t="e">
        <v>#N/A</v>
      </c>
    </row>
    <row r="385" spans="1:10" x14ac:dyDescent="0.15">
      <c r="A385" t="s">
        <v>3481</v>
      </c>
      <c r="B385">
        <v>386</v>
      </c>
      <c r="C385">
        <v>810</v>
      </c>
      <c r="D385">
        <v>2512</v>
      </c>
      <c r="E385">
        <v>2292</v>
      </c>
      <c r="F385">
        <v>141</v>
      </c>
      <c r="G385">
        <v>520</v>
      </c>
      <c r="H385" t="s">
        <v>1113</v>
      </c>
      <c r="I385" t="s">
        <v>1114</v>
      </c>
      <c r="J385" t="e">
        <v>#N/A</v>
      </c>
    </row>
    <row r="386" spans="1:10" x14ac:dyDescent="0.15">
      <c r="A386" t="s">
        <v>3482</v>
      </c>
      <c r="B386">
        <v>8</v>
      </c>
      <c r="C386">
        <v>833</v>
      </c>
      <c r="D386">
        <v>2605</v>
      </c>
      <c r="E386" t="s">
        <v>69</v>
      </c>
      <c r="F386">
        <v>440</v>
      </c>
      <c r="G386">
        <v>180</v>
      </c>
      <c r="H386" t="s">
        <v>1115</v>
      </c>
      <c r="I386" t="s">
        <v>1116</v>
      </c>
      <c r="J386" t="e">
        <v>#N/A</v>
      </c>
    </row>
    <row r="387" spans="1:10" x14ac:dyDescent="0.15">
      <c r="A387" t="s">
        <v>3483</v>
      </c>
      <c r="B387">
        <v>323</v>
      </c>
      <c r="C387">
        <v>820</v>
      </c>
      <c r="D387" t="s">
        <v>69</v>
      </c>
      <c r="E387" t="s">
        <v>69</v>
      </c>
      <c r="F387">
        <v>2402</v>
      </c>
      <c r="G387">
        <v>752</v>
      </c>
      <c r="H387" t="s">
        <v>1117</v>
      </c>
      <c r="I387" t="s">
        <v>1118</v>
      </c>
      <c r="J387" t="e">
        <v>#N/A</v>
      </c>
    </row>
    <row r="388" spans="1:10" x14ac:dyDescent="0.15">
      <c r="A388" t="s">
        <v>3484</v>
      </c>
      <c r="B388">
        <v>365</v>
      </c>
      <c r="C388" t="s">
        <v>69</v>
      </c>
      <c r="D388">
        <v>2306</v>
      </c>
      <c r="E388">
        <v>5356</v>
      </c>
      <c r="F388">
        <v>2129</v>
      </c>
      <c r="G388">
        <v>713</v>
      </c>
      <c r="H388" t="s">
        <v>1119</v>
      </c>
      <c r="I388" t="s">
        <v>1120</v>
      </c>
      <c r="J388" t="e">
        <v>#N/A</v>
      </c>
    </row>
    <row r="389" spans="1:10" x14ac:dyDescent="0.15">
      <c r="A389" t="s">
        <v>3485</v>
      </c>
      <c r="B389">
        <v>311</v>
      </c>
      <c r="C389">
        <v>815</v>
      </c>
      <c r="D389">
        <v>2012</v>
      </c>
      <c r="E389">
        <v>5351</v>
      </c>
      <c r="F389">
        <v>574</v>
      </c>
      <c r="G389">
        <v>531</v>
      </c>
      <c r="H389" t="s">
        <v>1121</v>
      </c>
      <c r="I389" t="s">
        <v>1122</v>
      </c>
      <c r="J389" t="e">
        <v>#N/A</v>
      </c>
    </row>
    <row r="390" spans="1:10" x14ac:dyDescent="0.15">
      <c r="A390" t="s">
        <v>3486</v>
      </c>
      <c r="B390">
        <v>373</v>
      </c>
      <c r="C390">
        <v>959</v>
      </c>
      <c r="D390">
        <v>2104</v>
      </c>
      <c r="E390">
        <v>2412</v>
      </c>
      <c r="F390">
        <v>773</v>
      </c>
      <c r="G390">
        <v>523</v>
      </c>
      <c r="H390" t="s">
        <v>1123</v>
      </c>
      <c r="I390" t="s">
        <v>1124</v>
      </c>
      <c r="J390" t="e">
        <v>#N/A</v>
      </c>
    </row>
    <row r="391" spans="1:10" x14ac:dyDescent="0.15">
      <c r="A391" t="s">
        <v>3487</v>
      </c>
      <c r="B391">
        <v>901</v>
      </c>
      <c r="C391" t="s">
        <v>69</v>
      </c>
      <c r="D391">
        <v>2210</v>
      </c>
      <c r="E391">
        <v>5374</v>
      </c>
      <c r="F391">
        <v>576</v>
      </c>
      <c r="G391">
        <v>564</v>
      </c>
      <c r="H391" t="s">
        <v>1125</v>
      </c>
      <c r="I391" t="s">
        <v>1126</v>
      </c>
      <c r="J391" t="e">
        <v>#N/A</v>
      </c>
    </row>
    <row r="392" spans="1:10" x14ac:dyDescent="0.15">
      <c r="A392" t="s">
        <v>3488</v>
      </c>
      <c r="B392">
        <v>5975</v>
      </c>
      <c r="C392">
        <v>969</v>
      </c>
      <c r="D392">
        <v>401</v>
      </c>
      <c r="E392">
        <v>2338</v>
      </c>
      <c r="F392">
        <v>466</v>
      </c>
      <c r="G392">
        <v>768</v>
      </c>
      <c r="H392" t="s">
        <v>1127</v>
      </c>
      <c r="I392" t="s">
        <v>1128</v>
      </c>
      <c r="J392" t="e">
        <v>#N/A</v>
      </c>
    </row>
    <row r="393" spans="1:10" x14ac:dyDescent="0.15">
      <c r="A393" t="s">
        <v>3489</v>
      </c>
      <c r="B393">
        <v>1006</v>
      </c>
      <c r="C393">
        <v>846</v>
      </c>
      <c r="D393">
        <v>507</v>
      </c>
      <c r="E393" t="s">
        <v>69</v>
      </c>
      <c r="F393" t="s">
        <v>69</v>
      </c>
      <c r="G393" t="s">
        <v>69</v>
      </c>
      <c r="H393" t="s">
        <v>1129</v>
      </c>
      <c r="I393" t="s">
        <v>1130</v>
      </c>
      <c r="J393" t="e">
        <v>#N/A</v>
      </c>
    </row>
    <row r="394" spans="1:10" x14ac:dyDescent="0.15">
      <c r="A394" t="s">
        <v>3490</v>
      </c>
      <c r="B394">
        <v>28</v>
      </c>
      <c r="C394">
        <v>836</v>
      </c>
      <c r="D394">
        <v>506</v>
      </c>
      <c r="E394" t="s">
        <v>69</v>
      </c>
      <c r="F394" t="s">
        <v>69</v>
      </c>
      <c r="G394" t="s">
        <v>69</v>
      </c>
      <c r="H394" t="s">
        <v>1131</v>
      </c>
      <c r="I394" t="s">
        <v>1132</v>
      </c>
      <c r="J394" t="e">
        <v>#N/A</v>
      </c>
    </row>
    <row r="395" spans="1:10" x14ac:dyDescent="0.15">
      <c r="A395" t="s">
        <v>3491</v>
      </c>
      <c r="B395">
        <v>1023</v>
      </c>
      <c r="C395" t="s">
        <v>69</v>
      </c>
      <c r="D395">
        <v>609</v>
      </c>
      <c r="E395" t="s">
        <v>69</v>
      </c>
      <c r="F395" t="s">
        <v>69</v>
      </c>
      <c r="G395" t="s">
        <v>69</v>
      </c>
      <c r="H395" t="s">
        <v>1133</v>
      </c>
      <c r="I395" t="s">
        <v>1134</v>
      </c>
      <c r="J395" t="e">
        <v>#N/A</v>
      </c>
    </row>
    <row r="396" spans="1:10" x14ac:dyDescent="0.15">
      <c r="A396" t="s">
        <v>3492</v>
      </c>
      <c r="B396">
        <v>100</v>
      </c>
      <c r="C396" t="s">
        <v>69</v>
      </c>
      <c r="D396">
        <v>805</v>
      </c>
      <c r="E396" t="s">
        <v>69</v>
      </c>
      <c r="F396" t="s">
        <v>69</v>
      </c>
      <c r="G396" t="s">
        <v>69</v>
      </c>
      <c r="H396" t="s">
        <v>1135</v>
      </c>
      <c r="I396" t="s">
        <v>1136</v>
      </c>
      <c r="J396" t="e">
        <v>#N/A</v>
      </c>
    </row>
    <row r="397" spans="1:10" x14ac:dyDescent="0.15">
      <c r="A397" t="s">
        <v>3493</v>
      </c>
      <c r="B397">
        <v>98</v>
      </c>
      <c r="C397" t="s">
        <v>69</v>
      </c>
      <c r="D397">
        <v>712</v>
      </c>
      <c r="E397" t="s">
        <v>69</v>
      </c>
      <c r="F397" t="s">
        <v>69</v>
      </c>
      <c r="G397" t="s">
        <v>69</v>
      </c>
      <c r="H397" t="s">
        <v>1137</v>
      </c>
      <c r="I397" t="s">
        <v>1138</v>
      </c>
      <c r="J397" t="e">
        <v>#N/A</v>
      </c>
    </row>
    <row r="398" spans="1:10" x14ac:dyDescent="0.15">
      <c r="A398" t="s">
        <v>3494</v>
      </c>
      <c r="B398">
        <v>90</v>
      </c>
      <c r="C398" t="s">
        <v>69</v>
      </c>
      <c r="D398">
        <v>711</v>
      </c>
      <c r="E398" t="s">
        <v>69</v>
      </c>
      <c r="F398" t="s">
        <v>69</v>
      </c>
      <c r="G398" t="s">
        <v>69</v>
      </c>
      <c r="H398" t="s">
        <v>1139</v>
      </c>
      <c r="I398" t="s">
        <v>1140</v>
      </c>
      <c r="J398" t="e">
        <v>#N/A</v>
      </c>
    </row>
    <row r="399" spans="1:10" x14ac:dyDescent="0.15">
      <c r="A399" t="s">
        <v>3495</v>
      </c>
      <c r="B399" t="s">
        <v>1141</v>
      </c>
      <c r="C399" t="s">
        <v>69</v>
      </c>
      <c r="D399">
        <v>713</v>
      </c>
      <c r="E399" t="s">
        <v>69</v>
      </c>
      <c r="F399" t="s">
        <v>69</v>
      </c>
      <c r="G399" t="s">
        <v>69</v>
      </c>
      <c r="H399" t="s">
        <v>1142</v>
      </c>
      <c r="I399" t="s">
        <v>1143</v>
      </c>
      <c r="J399" t="e">
        <v>#N/A</v>
      </c>
    </row>
    <row r="400" spans="1:10" x14ac:dyDescent="0.15">
      <c r="A400" t="s">
        <v>3496</v>
      </c>
      <c r="B400">
        <v>940</v>
      </c>
      <c r="C400" t="s">
        <v>69</v>
      </c>
      <c r="D400">
        <v>2702</v>
      </c>
      <c r="E400" t="s">
        <v>69</v>
      </c>
      <c r="F400" t="s">
        <v>69</v>
      </c>
      <c r="G400" t="s">
        <v>69</v>
      </c>
      <c r="H400" t="s">
        <v>1144</v>
      </c>
      <c r="I400" t="s">
        <v>1145</v>
      </c>
      <c r="J400" t="e">
        <v>#N/A</v>
      </c>
    </row>
    <row r="401" spans="1:10" x14ac:dyDescent="0.15">
      <c r="A401" t="s">
        <v>3497</v>
      </c>
      <c r="B401">
        <v>176</v>
      </c>
      <c r="C401">
        <v>882</v>
      </c>
      <c r="D401">
        <v>902</v>
      </c>
      <c r="E401" t="s">
        <v>69</v>
      </c>
      <c r="F401" t="s">
        <v>69</v>
      </c>
      <c r="G401" t="s">
        <v>69</v>
      </c>
      <c r="H401" t="s">
        <v>1146</v>
      </c>
      <c r="I401" t="s">
        <v>1147</v>
      </c>
      <c r="J401" t="e">
        <v>#N/A</v>
      </c>
    </row>
    <row r="402" spans="1:10" x14ac:dyDescent="0.15">
      <c r="A402" t="s">
        <v>3498</v>
      </c>
      <c r="B402" t="s">
        <v>1148</v>
      </c>
      <c r="C402">
        <v>887</v>
      </c>
      <c r="D402">
        <v>907</v>
      </c>
      <c r="E402" t="s">
        <v>69</v>
      </c>
      <c r="F402" t="s">
        <v>69</v>
      </c>
      <c r="G402" t="s">
        <v>69</v>
      </c>
      <c r="H402" t="s">
        <v>1149</v>
      </c>
      <c r="I402" t="s">
        <v>1150</v>
      </c>
      <c r="J402" t="e">
        <v>#N/A</v>
      </c>
    </row>
    <row r="403" spans="1:10" x14ac:dyDescent="0.15">
      <c r="A403" t="s">
        <v>3499</v>
      </c>
      <c r="B403">
        <v>9159</v>
      </c>
      <c r="C403">
        <v>892</v>
      </c>
      <c r="D403">
        <v>1001</v>
      </c>
      <c r="E403" t="s">
        <v>69</v>
      </c>
      <c r="F403" t="s">
        <v>69</v>
      </c>
      <c r="G403" t="s">
        <v>69</v>
      </c>
      <c r="H403" t="s">
        <v>1151</v>
      </c>
      <c r="I403" t="s">
        <v>1152</v>
      </c>
      <c r="J403" t="e">
        <v>#N/A</v>
      </c>
    </row>
    <row r="404" spans="1:10" x14ac:dyDescent="0.15">
      <c r="A404" t="s">
        <v>3500</v>
      </c>
      <c r="B404">
        <v>162</v>
      </c>
      <c r="C404">
        <v>896</v>
      </c>
      <c r="D404">
        <v>1011</v>
      </c>
      <c r="E404" t="s">
        <v>69</v>
      </c>
      <c r="F404" t="s">
        <v>69</v>
      </c>
      <c r="G404" t="s">
        <v>69</v>
      </c>
      <c r="H404" t="s">
        <v>1153</v>
      </c>
      <c r="I404" t="s">
        <v>1154</v>
      </c>
      <c r="J404" t="e">
        <v>#N/A</v>
      </c>
    </row>
    <row r="405" spans="1:10" x14ac:dyDescent="0.15">
      <c r="A405" t="s">
        <v>3501</v>
      </c>
      <c r="B405">
        <v>1089</v>
      </c>
      <c r="C405" t="s">
        <v>69</v>
      </c>
      <c r="D405">
        <v>1102</v>
      </c>
      <c r="E405" t="s">
        <v>69</v>
      </c>
      <c r="F405" t="s">
        <v>69</v>
      </c>
      <c r="G405" t="s">
        <v>69</v>
      </c>
      <c r="H405" t="s">
        <v>1155</v>
      </c>
      <c r="I405" t="s">
        <v>1156</v>
      </c>
      <c r="J405" t="e">
        <v>#N/A</v>
      </c>
    </row>
    <row r="406" spans="1:10" x14ac:dyDescent="0.15">
      <c r="A406" t="s">
        <v>3502</v>
      </c>
      <c r="B406">
        <v>410</v>
      </c>
      <c r="C406" t="s">
        <v>69</v>
      </c>
      <c r="D406">
        <v>1103</v>
      </c>
      <c r="E406" t="s">
        <v>69</v>
      </c>
      <c r="F406" t="s">
        <v>69</v>
      </c>
      <c r="G406" t="s">
        <v>69</v>
      </c>
      <c r="H406" t="s">
        <v>1157</v>
      </c>
      <c r="I406" t="s">
        <v>1158</v>
      </c>
      <c r="J406" t="e">
        <v>#N/A</v>
      </c>
    </row>
    <row r="407" spans="1:10" x14ac:dyDescent="0.15">
      <c r="A407" t="s">
        <v>3503</v>
      </c>
      <c r="B407">
        <v>433</v>
      </c>
      <c r="C407" t="s">
        <v>69</v>
      </c>
      <c r="D407" t="s">
        <v>69</v>
      </c>
      <c r="E407" t="s">
        <v>69</v>
      </c>
      <c r="F407" t="s">
        <v>69</v>
      </c>
      <c r="G407" t="s">
        <v>69</v>
      </c>
      <c r="H407" t="s">
        <v>1159</v>
      </c>
      <c r="I407" t="s">
        <v>1160</v>
      </c>
      <c r="J407" t="e">
        <v>#N/A</v>
      </c>
    </row>
    <row r="408" spans="1:10" x14ac:dyDescent="0.15">
      <c r="A408" t="s">
        <v>3504</v>
      </c>
      <c r="B408">
        <v>433</v>
      </c>
      <c r="C408" t="s">
        <v>69</v>
      </c>
      <c r="D408" t="s">
        <v>69</v>
      </c>
      <c r="E408" t="s">
        <v>69</v>
      </c>
      <c r="F408" t="s">
        <v>69</v>
      </c>
      <c r="G408" t="s">
        <v>69</v>
      </c>
      <c r="H408" t="s">
        <v>1161</v>
      </c>
      <c r="I408" t="s">
        <v>1162</v>
      </c>
      <c r="J408" t="e">
        <v>#N/A</v>
      </c>
    </row>
    <row r="409" spans="1:10" x14ac:dyDescent="0.15">
      <c r="A409" t="s">
        <v>3505</v>
      </c>
      <c r="B409">
        <v>1076</v>
      </c>
      <c r="C409" t="s">
        <v>69</v>
      </c>
      <c r="D409">
        <v>2507</v>
      </c>
      <c r="E409" t="s">
        <v>69</v>
      </c>
      <c r="F409" t="s">
        <v>69</v>
      </c>
      <c r="G409" t="s">
        <v>69</v>
      </c>
      <c r="H409" t="s">
        <v>1163</v>
      </c>
      <c r="I409" t="s">
        <v>1164</v>
      </c>
      <c r="J409" t="e">
        <v>#N/A</v>
      </c>
    </row>
    <row r="410" spans="1:10" x14ac:dyDescent="0.15">
      <c r="A410" t="s">
        <v>3506</v>
      </c>
      <c r="B410">
        <v>1074</v>
      </c>
      <c r="C410" t="s">
        <v>69</v>
      </c>
      <c r="D410">
        <v>1108</v>
      </c>
      <c r="E410" t="s">
        <v>69</v>
      </c>
      <c r="F410" t="s">
        <v>69</v>
      </c>
      <c r="G410" t="s">
        <v>69</v>
      </c>
      <c r="H410" t="s">
        <v>1165</v>
      </c>
      <c r="I410" t="s">
        <v>1166</v>
      </c>
      <c r="J410" t="e">
        <v>#N/A</v>
      </c>
    </row>
    <row r="411" spans="1:10" x14ac:dyDescent="0.15">
      <c r="A411" t="s">
        <v>3507</v>
      </c>
      <c r="B411">
        <v>1070</v>
      </c>
      <c r="C411" t="s">
        <v>69</v>
      </c>
      <c r="D411">
        <v>1109</v>
      </c>
      <c r="E411" t="s">
        <v>69</v>
      </c>
      <c r="F411" t="s">
        <v>69</v>
      </c>
      <c r="G411" t="s">
        <v>69</v>
      </c>
      <c r="H411" t="s">
        <v>1167</v>
      </c>
      <c r="I411" t="s">
        <v>1168</v>
      </c>
      <c r="J411" t="e">
        <v>#N/A</v>
      </c>
    </row>
    <row r="412" spans="1:10" x14ac:dyDescent="0.15">
      <c r="A412" t="s">
        <v>3508</v>
      </c>
      <c r="B412">
        <v>189</v>
      </c>
      <c r="C412">
        <v>917</v>
      </c>
      <c r="D412">
        <v>1203</v>
      </c>
      <c r="E412" t="s">
        <v>69</v>
      </c>
      <c r="F412" t="s">
        <v>69</v>
      </c>
      <c r="G412" t="s">
        <v>69</v>
      </c>
      <c r="H412" t="s">
        <v>1169</v>
      </c>
      <c r="I412" t="s">
        <v>1170</v>
      </c>
      <c r="J412" t="e">
        <v>#N/A</v>
      </c>
    </row>
    <row r="413" spans="1:10" x14ac:dyDescent="0.15">
      <c r="A413" t="s">
        <v>3509</v>
      </c>
      <c r="B413">
        <v>187</v>
      </c>
      <c r="C413">
        <v>910</v>
      </c>
      <c r="D413">
        <v>1202</v>
      </c>
      <c r="E413" t="s">
        <v>69</v>
      </c>
      <c r="F413" t="s">
        <v>69</v>
      </c>
      <c r="G413" t="s">
        <v>69</v>
      </c>
      <c r="H413" t="s">
        <v>1171</v>
      </c>
      <c r="I413" t="s">
        <v>1172</v>
      </c>
      <c r="J413" t="e">
        <v>#N/A</v>
      </c>
    </row>
    <row r="414" spans="1:10" x14ac:dyDescent="0.15">
      <c r="A414" t="s">
        <v>3510</v>
      </c>
      <c r="B414">
        <v>307</v>
      </c>
      <c r="C414">
        <v>812</v>
      </c>
      <c r="D414">
        <v>2509</v>
      </c>
      <c r="E414" t="s">
        <v>69</v>
      </c>
      <c r="F414" t="s">
        <v>69</v>
      </c>
      <c r="G414" t="s">
        <v>69</v>
      </c>
      <c r="H414" t="s">
        <v>1173</v>
      </c>
      <c r="I414" t="s">
        <v>1174</v>
      </c>
      <c r="J414" t="e">
        <v>#N/A</v>
      </c>
    </row>
    <row r="415" spans="1:10" x14ac:dyDescent="0.15">
      <c r="A415" t="s">
        <v>3511</v>
      </c>
      <c r="B415">
        <v>1003</v>
      </c>
      <c r="C415">
        <v>965</v>
      </c>
      <c r="D415">
        <v>311</v>
      </c>
      <c r="E415" t="s">
        <v>69</v>
      </c>
      <c r="F415" t="s">
        <v>69</v>
      </c>
      <c r="G415" t="s">
        <v>69</v>
      </c>
      <c r="H415" t="s">
        <v>1175</v>
      </c>
      <c r="I415" t="s">
        <v>1176</v>
      </c>
      <c r="J415" t="e">
        <v>#N/A</v>
      </c>
    </row>
    <row r="416" spans="1:10" x14ac:dyDescent="0.15">
      <c r="A416" t="s">
        <v>3512</v>
      </c>
      <c r="B416">
        <v>313</v>
      </c>
      <c r="C416" t="s">
        <v>69</v>
      </c>
      <c r="D416">
        <v>2301</v>
      </c>
      <c r="E416" t="s">
        <v>69</v>
      </c>
      <c r="F416" t="s">
        <v>69</v>
      </c>
      <c r="G416" t="s">
        <v>69</v>
      </c>
      <c r="H416" t="s">
        <v>1177</v>
      </c>
      <c r="I416" t="s">
        <v>1178</v>
      </c>
      <c r="J416" t="e">
        <v>#N/A</v>
      </c>
    </row>
    <row r="417" spans="1:10" x14ac:dyDescent="0.15">
      <c r="A417" t="s">
        <v>3513</v>
      </c>
      <c r="B417">
        <v>311</v>
      </c>
      <c r="C417">
        <v>815</v>
      </c>
      <c r="D417">
        <v>2013</v>
      </c>
      <c r="E417" t="s">
        <v>69</v>
      </c>
      <c r="F417" t="s">
        <v>69</v>
      </c>
      <c r="G417" t="s">
        <v>69</v>
      </c>
      <c r="H417" t="s">
        <v>1179</v>
      </c>
      <c r="I417" t="s">
        <v>1180</v>
      </c>
      <c r="J417" t="e">
        <v>#N/A</v>
      </c>
    </row>
    <row r="418" spans="1:10" x14ac:dyDescent="0.15">
      <c r="A418" t="s">
        <v>3514</v>
      </c>
      <c r="B418">
        <v>368</v>
      </c>
      <c r="C418" t="s">
        <v>69</v>
      </c>
      <c r="D418">
        <v>2309</v>
      </c>
      <c r="E418" t="s">
        <v>69</v>
      </c>
      <c r="F418" t="s">
        <v>69</v>
      </c>
      <c r="G418" t="s">
        <v>69</v>
      </c>
      <c r="H418" t="s">
        <v>1181</v>
      </c>
      <c r="I418" t="s">
        <v>1182</v>
      </c>
      <c r="J418" t="e">
        <v>#N/A</v>
      </c>
    </row>
    <row r="419" spans="1:10" x14ac:dyDescent="0.15">
      <c r="A419" t="s">
        <v>3515</v>
      </c>
      <c r="B419">
        <v>936</v>
      </c>
      <c r="C419">
        <v>971</v>
      </c>
      <c r="D419">
        <v>811</v>
      </c>
      <c r="E419" t="s">
        <v>69</v>
      </c>
      <c r="F419" t="s">
        <v>69</v>
      </c>
      <c r="G419" t="s">
        <v>69</v>
      </c>
      <c r="H419" t="s">
        <v>1183</v>
      </c>
      <c r="I419" t="s">
        <v>1184</v>
      </c>
      <c r="J419" t="e">
        <v>#N/A</v>
      </c>
    </row>
    <row r="420" spans="1:10" x14ac:dyDescent="0.15">
      <c r="A420" t="s">
        <v>3516</v>
      </c>
      <c r="B420">
        <v>936</v>
      </c>
      <c r="C420" t="s">
        <v>69</v>
      </c>
      <c r="D420">
        <v>810</v>
      </c>
      <c r="E420" t="s">
        <v>69</v>
      </c>
      <c r="F420" t="s">
        <v>69</v>
      </c>
      <c r="G420" t="s">
        <v>69</v>
      </c>
      <c r="H420" t="s">
        <v>1185</v>
      </c>
      <c r="I420" t="s">
        <v>1186</v>
      </c>
      <c r="J420" t="e">
        <v>#N/A</v>
      </c>
    </row>
    <row r="421" spans="1:10" x14ac:dyDescent="0.15">
      <c r="A421" t="s">
        <v>3517</v>
      </c>
      <c r="B421">
        <v>1007</v>
      </c>
      <c r="C421" t="s">
        <v>69</v>
      </c>
      <c r="D421">
        <v>2310</v>
      </c>
      <c r="E421" t="s">
        <v>69</v>
      </c>
      <c r="F421" t="s">
        <v>69</v>
      </c>
      <c r="G421" t="s">
        <v>69</v>
      </c>
      <c r="H421" t="s">
        <v>1187</v>
      </c>
      <c r="I421" t="s">
        <v>1188</v>
      </c>
      <c r="J421" t="e">
        <v>#N/A</v>
      </c>
    </row>
    <row r="422" spans="1:10" x14ac:dyDescent="0.15">
      <c r="A422" t="s">
        <v>3518</v>
      </c>
      <c r="B422">
        <v>379</v>
      </c>
      <c r="C422" t="s">
        <v>69</v>
      </c>
      <c r="D422">
        <v>1914</v>
      </c>
      <c r="E422" t="s">
        <v>69</v>
      </c>
      <c r="F422" t="s">
        <v>69</v>
      </c>
      <c r="G422" t="s">
        <v>69</v>
      </c>
      <c r="H422" t="s">
        <v>1189</v>
      </c>
      <c r="I422" t="s">
        <v>1190</v>
      </c>
      <c r="J422" t="e">
        <v>#N/A</v>
      </c>
    </row>
    <row r="423" spans="1:10" x14ac:dyDescent="0.15">
      <c r="A423" t="s">
        <v>3519</v>
      </c>
      <c r="B423">
        <v>378</v>
      </c>
      <c r="C423" t="s">
        <v>69</v>
      </c>
      <c r="D423">
        <v>1912</v>
      </c>
      <c r="E423" t="s">
        <v>69</v>
      </c>
      <c r="F423" t="s">
        <v>69</v>
      </c>
      <c r="G423" t="s">
        <v>69</v>
      </c>
      <c r="H423" t="s">
        <v>1191</v>
      </c>
      <c r="I423" t="s">
        <v>1192</v>
      </c>
      <c r="J423" t="e">
        <v>#N/A</v>
      </c>
    </row>
    <row r="424" spans="1:10" x14ac:dyDescent="0.15">
      <c r="A424" t="s">
        <v>3520</v>
      </c>
      <c r="B424">
        <v>358</v>
      </c>
      <c r="C424">
        <v>974</v>
      </c>
      <c r="D424">
        <v>1913</v>
      </c>
      <c r="E424" t="s">
        <v>69</v>
      </c>
      <c r="F424" t="s">
        <v>69</v>
      </c>
      <c r="G424" t="s">
        <v>69</v>
      </c>
      <c r="H424" t="s">
        <v>1193</v>
      </c>
      <c r="I424" t="s">
        <v>1194</v>
      </c>
      <c r="J424" t="e">
        <v>#N/A</v>
      </c>
    </row>
    <row r="425" spans="1:10" x14ac:dyDescent="0.15">
      <c r="A425" t="s">
        <v>3521</v>
      </c>
      <c r="B425">
        <v>379</v>
      </c>
      <c r="C425">
        <v>980</v>
      </c>
      <c r="D425">
        <v>1912</v>
      </c>
      <c r="E425" t="s">
        <v>69</v>
      </c>
      <c r="F425" t="s">
        <v>69</v>
      </c>
      <c r="G425" t="s">
        <v>69</v>
      </c>
      <c r="H425" t="s">
        <v>1195</v>
      </c>
      <c r="I425" t="s">
        <v>1196</v>
      </c>
      <c r="J425" t="e">
        <v>#N/A</v>
      </c>
    </row>
    <row r="426" spans="1:10" x14ac:dyDescent="0.15">
      <c r="A426" t="s">
        <v>3522</v>
      </c>
      <c r="B426">
        <v>376</v>
      </c>
      <c r="C426">
        <v>979</v>
      </c>
      <c r="D426">
        <v>1910</v>
      </c>
      <c r="E426" t="s">
        <v>69</v>
      </c>
      <c r="F426" t="s">
        <v>69</v>
      </c>
      <c r="G426" t="s">
        <v>69</v>
      </c>
      <c r="H426" t="s">
        <v>1197</v>
      </c>
      <c r="I426" t="s">
        <v>1198</v>
      </c>
      <c r="J426" t="e">
        <v>#N/A</v>
      </c>
    </row>
    <row r="427" spans="1:10" x14ac:dyDescent="0.15">
      <c r="A427" t="s">
        <v>3523</v>
      </c>
      <c r="B427" t="s">
        <v>1199</v>
      </c>
      <c r="C427" t="s">
        <v>69</v>
      </c>
      <c r="D427">
        <v>2402</v>
      </c>
      <c r="E427" t="s">
        <v>69</v>
      </c>
      <c r="F427" t="s">
        <v>69</v>
      </c>
      <c r="G427" t="s">
        <v>69</v>
      </c>
      <c r="H427" t="s">
        <v>1200</v>
      </c>
      <c r="I427" t="s">
        <v>1201</v>
      </c>
      <c r="J427" t="e">
        <v>#N/A</v>
      </c>
    </row>
    <row r="428" spans="1:10" x14ac:dyDescent="0.15">
      <c r="A428" t="s">
        <v>3524</v>
      </c>
      <c r="B428">
        <v>926</v>
      </c>
      <c r="C428">
        <v>860</v>
      </c>
      <c r="D428">
        <v>1908</v>
      </c>
      <c r="E428" t="s">
        <v>69</v>
      </c>
      <c r="F428" t="s">
        <v>69</v>
      </c>
      <c r="G428" t="s">
        <v>69</v>
      </c>
      <c r="H428" t="s">
        <v>1202</v>
      </c>
      <c r="I428" t="s">
        <v>1203</v>
      </c>
      <c r="J428" t="e">
        <v>#N/A</v>
      </c>
    </row>
    <row r="429" spans="1:10" x14ac:dyDescent="0.15">
      <c r="A429" t="s">
        <v>1204</v>
      </c>
      <c r="B429">
        <v>1</v>
      </c>
      <c r="C429">
        <v>998</v>
      </c>
      <c r="D429" t="s">
        <v>68</v>
      </c>
      <c r="E429" t="s">
        <v>69</v>
      </c>
      <c r="F429">
        <v>2500</v>
      </c>
      <c r="G429">
        <v>801</v>
      </c>
      <c r="H429" t="s">
        <v>1205</v>
      </c>
      <c r="I429" t="s">
        <v>1206</v>
      </c>
      <c r="J429" t="e">
        <v>#N/A</v>
      </c>
    </row>
  </sheetData>
  <autoFilter ref="A1:M429" xr:uid="{00000000-0009-0000-0000-000002000000}"/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951"/>
  <sheetViews>
    <sheetView topLeftCell="A250" workbookViewId="0">
      <selection activeCell="C271" sqref="C271"/>
    </sheetView>
  </sheetViews>
  <sheetFormatPr defaultRowHeight="13.5" x14ac:dyDescent="0.15"/>
  <cols>
    <col min="1" max="1" width="16.25" bestFit="1" customWidth="1"/>
    <col min="2" max="2" width="5.375" bestFit="1" customWidth="1"/>
    <col min="8" max="8" width="9.5" bestFit="1" customWidth="1"/>
  </cols>
  <sheetData>
    <row r="1" spans="1:7" x14ac:dyDescent="0.15">
      <c r="A1" t="s">
        <v>1207</v>
      </c>
      <c r="B1" t="s">
        <v>1208</v>
      </c>
      <c r="C1" t="s">
        <v>1209</v>
      </c>
      <c r="D1" t="s">
        <v>3528</v>
      </c>
      <c r="E1" t="s">
        <v>3529</v>
      </c>
      <c r="F1" t="s">
        <v>3530</v>
      </c>
      <c r="G1" t="s">
        <v>3531</v>
      </c>
    </row>
    <row r="2" spans="1:7" x14ac:dyDescent="0.15">
      <c r="A2" t="str">
        <f>LEFT(D2,LEN(D2)-1)</f>
        <v>100</v>
      </c>
      <c r="B2">
        <v>1</v>
      </c>
      <c r="C2" s="51" t="s">
        <v>1211</v>
      </c>
      <c r="D2" t="s">
        <v>1210</v>
      </c>
      <c r="E2">
        <f t="shared" ref="E2:E4" si="0">HEX2DEC(MID(C2,2,2))</f>
        <v>243</v>
      </c>
      <c r="F2">
        <f t="shared" ref="F2:F4" si="1">HEX2DEC(MID(C2,4,2))</f>
        <v>237</v>
      </c>
      <c r="G2">
        <f t="shared" ref="G2:G4" si="2">HEX2DEC(MID(C2,6,2))</f>
        <v>134</v>
      </c>
    </row>
    <row r="3" spans="1:7" x14ac:dyDescent="0.15">
      <c r="A3" t="str">
        <f t="shared" ref="A3:A66" si="3">LEFT(D3,LEN(D3)-1)</f>
        <v>101</v>
      </c>
      <c r="B3">
        <v>2</v>
      </c>
      <c r="C3" s="52" t="s">
        <v>1213</v>
      </c>
      <c r="D3" t="s">
        <v>1212</v>
      </c>
      <c r="E3">
        <f t="shared" si="0"/>
        <v>245</v>
      </c>
      <c r="F3">
        <f t="shared" si="1"/>
        <v>236</v>
      </c>
      <c r="G3">
        <f t="shared" si="2"/>
        <v>98</v>
      </c>
    </row>
    <row r="4" spans="1:7" x14ac:dyDescent="0.15">
      <c r="A4" t="str">
        <f t="shared" si="3"/>
        <v>102</v>
      </c>
      <c r="B4">
        <v>3</v>
      </c>
      <c r="C4" s="53" t="s">
        <v>1215</v>
      </c>
      <c r="D4" t="s">
        <v>1214</v>
      </c>
      <c r="E4">
        <f t="shared" si="0"/>
        <v>250</v>
      </c>
      <c r="F4">
        <f t="shared" si="1"/>
        <v>230</v>
      </c>
      <c r="G4">
        <f t="shared" si="2"/>
        <v>0</v>
      </c>
    </row>
    <row r="5" spans="1:7" x14ac:dyDescent="0.15">
      <c r="A5" t="str">
        <f t="shared" si="3"/>
        <v xml:space="preserve">Yellow </v>
      </c>
      <c r="B5">
        <v>4</v>
      </c>
      <c r="C5" s="50" t="s">
        <v>1217</v>
      </c>
      <c r="D5" t="s">
        <v>1216</v>
      </c>
      <c r="E5">
        <f>HEX2DEC(MID(C5,2,2))</f>
        <v>252</v>
      </c>
      <c r="F5">
        <f>HEX2DEC(MID(C5,4,2))</f>
        <v>224</v>
      </c>
      <c r="G5">
        <f>HEX2DEC(MID(C5,6,2))</f>
        <v>22</v>
      </c>
    </row>
    <row r="6" spans="1:7" x14ac:dyDescent="0.15">
      <c r="A6" t="str">
        <f t="shared" si="3"/>
        <v>103</v>
      </c>
      <c r="B6">
        <v>5</v>
      </c>
      <c r="C6" s="54" t="s">
        <v>1219</v>
      </c>
      <c r="D6" t="s">
        <v>1218</v>
      </c>
      <c r="E6">
        <f t="shared" ref="E6:E69" si="4">HEX2DEC(MID(C6,2,2))</f>
        <v>202</v>
      </c>
      <c r="F6">
        <f t="shared" ref="F6:F69" si="5">HEX2DEC(MID(C6,4,2))</f>
        <v>173</v>
      </c>
      <c r="G6">
        <f t="shared" ref="G6:G69" si="6">HEX2DEC(MID(C6,6,2))</f>
        <v>0</v>
      </c>
    </row>
    <row r="7" spans="1:7" x14ac:dyDescent="0.15">
      <c r="A7" t="str">
        <f t="shared" si="3"/>
        <v>104</v>
      </c>
      <c r="B7">
        <v>6</v>
      </c>
      <c r="C7" s="55" t="s">
        <v>1221</v>
      </c>
      <c r="D7" t="s">
        <v>1220</v>
      </c>
      <c r="E7">
        <f t="shared" si="4"/>
        <v>172</v>
      </c>
      <c r="F7">
        <f t="shared" si="5"/>
        <v>150</v>
      </c>
      <c r="G7">
        <f t="shared" si="6"/>
        <v>0</v>
      </c>
    </row>
    <row r="8" spans="1:7" x14ac:dyDescent="0.15">
      <c r="A8" t="str">
        <f t="shared" si="3"/>
        <v>105</v>
      </c>
      <c r="B8">
        <v>7</v>
      </c>
      <c r="C8" s="56" t="s">
        <v>1223</v>
      </c>
      <c r="D8" t="s">
        <v>1222</v>
      </c>
      <c r="E8">
        <f t="shared" si="4"/>
        <v>129</v>
      </c>
      <c r="F8">
        <f t="shared" si="5"/>
        <v>114</v>
      </c>
      <c r="G8">
        <f t="shared" si="6"/>
        <v>20</v>
      </c>
    </row>
    <row r="9" spans="1:7" x14ac:dyDescent="0.15">
      <c r="A9" t="str">
        <f t="shared" si="3"/>
        <v>106</v>
      </c>
      <c r="B9">
        <v>8</v>
      </c>
      <c r="C9" s="57" t="s">
        <v>1225</v>
      </c>
      <c r="D9" t="s">
        <v>1224</v>
      </c>
      <c r="E9">
        <f t="shared" si="4"/>
        <v>246</v>
      </c>
      <c r="F9">
        <f t="shared" si="5"/>
        <v>231</v>
      </c>
      <c r="G9">
        <f t="shared" si="6"/>
        <v>97</v>
      </c>
    </row>
    <row r="10" spans="1:7" x14ac:dyDescent="0.15">
      <c r="A10" t="str">
        <f t="shared" si="3"/>
        <v>107</v>
      </c>
      <c r="B10">
        <v>9</v>
      </c>
      <c r="C10" s="58" t="s">
        <v>1227</v>
      </c>
      <c r="D10" t="s">
        <v>1226</v>
      </c>
      <c r="E10">
        <f t="shared" si="4"/>
        <v>250</v>
      </c>
      <c r="F10">
        <f t="shared" si="5"/>
        <v>226</v>
      </c>
      <c r="G10">
        <f t="shared" si="6"/>
        <v>47</v>
      </c>
    </row>
    <row r="11" spans="1:7" x14ac:dyDescent="0.15">
      <c r="A11" t="str">
        <f t="shared" si="3"/>
        <v>108</v>
      </c>
      <c r="B11">
        <v>10</v>
      </c>
      <c r="C11" s="59" t="s">
        <v>1229</v>
      </c>
      <c r="D11" t="s">
        <v>1228</v>
      </c>
      <c r="E11">
        <f t="shared" si="4"/>
        <v>254</v>
      </c>
      <c r="F11">
        <f t="shared" si="5"/>
        <v>219</v>
      </c>
      <c r="G11">
        <f t="shared" si="6"/>
        <v>0</v>
      </c>
    </row>
    <row r="12" spans="1:7" x14ac:dyDescent="0.15">
      <c r="A12" t="str">
        <f t="shared" si="3"/>
        <v>109</v>
      </c>
      <c r="B12">
        <v>11</v>
      </c>
      <c r="C12" s="60" t="s">
        <v>1231</v>
      </c>
      <c r="D12" t="s">
        <v>1230</v>
      </c>
      <c r="E12">
        <f t="shared" si="4"/>
        <v>255</v>
      </c>
      <c r="F12">
        <f t="shared" si="5"/>
        <v>209</v>
      </c>
      <c r="G12">
        <f t="shared" si="6"/>
        <v>0</v>
      </c>
    </row>
    <row r="13" spans="1:7" x14ac:dyDescent="0.15">
      <c r="A13" t="str">
        <f t="shared" si="3"/>
        <v>110</v>
      </c>
      <c r="B13">
        <v>12</v>
      </c>
      <c r="C13" s="61" t="s">
        <v>1233</v>
      </c>
      <c r="D13" t="s">
        <v>1232</v>
      </c>
      <c r="E13">
        <f t="shared" si="4"/>
        <v>219</v>
      </c>
      <c r="F13">
        <f t="shared" si="5"/>
        <v>174</v>
      </c>
      <c r="G13">
        <f t="shared" si="6"/>
        <v>0</v>
      </c>
    </row>
    <row r="14" spans="1:7" x14ac:dyDescent="0.15">
      <c r="A14" t="str">
        <f t="shared" si="3"/>
        <v>111</v>
      </c>
      <c r="B14">
        <v>13</v>
      </c>
      <c r="C14" s="62" t="s">
        <v>1235</v>
      </c>
      <c r="D14" t="s">
        <v>1234</v>
      </c>
      <c r="E14">
        <f t="shared" si="4"/>
        <v>175</v>
      </c>
      <c r="F14">
        <f t="shared" si="5"/>
        <v>143</v>
      </c>
      <c r="G14">
        <f t="shared" si="6"/>
        <v>0</v>
      </c>
    </row>
    <row r="15" spans="1:7" x14ac:dyDescent="0.15">
      <c r="A15" t="str">
        <f t="shared" si="3"/>
        <v>112</v>
      </c>
      <c r="B15">
        <v>14</v>
      </c>
      <c r="C15" s="63" t="s">
        <v>1237</v>
      </c>
      <c r="D15" t="s">
        <v>1236</v>
      </c>
      <c r="E15">
        <f t="shared" si="4"/>
        <v>153</v>
      </c>
      <c r="F15">
        <f t="shared" si="5"/>
        <v>128</v>
      </c>
      <c r="G15">
        <f t="shared" si="6"/>
        <v>0</v>
      </c>
    </row>
    <row r="16" spans="1:7" x14ac:dyDescent="0.15">
      <c r="A16" t="str">
        <f t="shared" si="3"/>
        <v>113</v>
      </c>
      <c r="B16">
        <v>15</v>
      </c>
      <c r="C16" s="64" t="s">
        <v>1239</v>
      </c>
      <c r="D16" t="s">
        <v>1238</v>
      </c>
      <c r="E16">
        <f t="shared" si="4"/>
        <v>250</v>
      </c>
      <c r="F16">
        <f t="shared" si="5"/>
        <v>225</v>
      </c>
      <c r="G16">
        <f t="shared" si="6"/>
        <v>90</v>
      </c>
    </row>
    <row r="17" spans="1:7" x14ac:dyDescent="0.15">
      <c r="A17" t="str">
        <f t="shared" si="3"/>
        <v>114</v>
      </c>
      <c r="B17">
        <v>16</v>
      </c>
      <c r="C17" s="65" t="s">
        <v>1241</v>
      </c>
      <c r="D17" t="s">
        <v>1240</v>
      </c>
      <c r="E17">
        <f t="shared" si="4"/>
        <v>250</v>
      </c>
      <c r="F17">
        <f t="shared" si="5"/>
        <v>224</v>
      </c>
      <c r="G17">
        <f t="shared" si="6"/>
        <v>81</v>
      </c>
    </row>
    <row r="18" spans="1:7" x14ac:dyDescent="0.15">
      <c r="A18" t="str">
        <f t="shared" si="3"/>
        <v>115</v>
      </c>
      <c r="B18">
        <v>17</v>
      </c>
      <c r="C18" s="66" t="s">
        <v>1243</v>
      </c>
      <c r="D18" t="s">
        <v>1242</v>
      </c>
      <c r="E18">
        <f t="shared" si="4"/>
        <v>251</v>
      </c>
      <c r="F18">
        <f t="shared" si="5"/>
        <v>222</v>
      </c>
      <c r="G18">
        <f t="shared" si="6"/>
        <v>74</v>
      </c>
    </row>
    <row r="19" spans="1:7" x14ac:dyDescent="0.15">
      <c r="A19" t="str">
        <f t="shared" si="3"/>
        <v>116</v>
      </c>
      <c r="B19">
        <v>18</v>
      </c>
      <c r="C19" s="67" t="s">
        <v>1245</v>
      </c>
      <c r="D19" t="s">
        <v>1244</v>
      </c>
      <c r="E19">
        <f t="shared" si="4"/>
        <v>255</v>
      </c>
      <c r="F19">
        <f t="shared" si="5"/>
        <v>206</v>
      </c>
      <c r="G19">
        <f t="shared" si="6"/>
        <v>0</v>
      </c>
    </row>
    <row r="20" spans="1:7" x14ac:dyDescent="0.15">
      <c r="A20" t="str">
        <f t="shared" si="3"/>
        <v>117</v>
      </c>
      <c r="B20">
        <v>19</v>
      </c>
      <c r="C20" s="68" t="s">
        <v>1247</v>
      </c>
      <c r="D20" t="s">
        <v>1246</v>
      </c>
      <c r="E20">
        <f t="shared" si="4"/>
        <v>206</v>
      </c>
      <c r="F20">
        <f t="shared" si="5"/>
        <v>157</v>
      </c>
      <c r="G20">
        <f t="shared" si="6"/>
        <v>0</v>
      </c>
    </row>
    <row r="21" spans="1:7" x14ac:dyDescent="0.15">
      <c r="A21" t="str">
        <f t="shared" si="3"/>
        <v>118</v>
      </c>
      <c r="B21">
        <v>20</v>
      </c>
      <c r="C21" s="69" t="s">
        <v>1249</v>
      </c>
      <c r="D21" t="s">
        <v>1248</v>
      </c>
      <c r="E21">
        <f t="shared" si="4"/>
        <v>179</v>
      </c>
      <c r="F21">
        <f t="shared" si="5"/>
        <v>138</v>
      </c>
      <c r="G21">
        <f t="shared" si="6"/>
        <v>0</v>
      </c>
    </row>
    <row r="22" spans="1:7" x14ac:dyDescent="0.15">
      <c r="A22" t="str">
        <f t="shared" si="3"/>
        <v>119</v>
      </c>
      <c r="B22">
        <v>21</v>
      </c>
      <c r="C22" s="70" t="s">
        <v>1251</v>
      </c>
      <c r="D22" t="s">
        <v>1250</v>
      </c>
      <c r="E22">
        <f t="shared" si="4"/>
        <v>138</v>
      </c>
      <c r="F22">
        <f t="shared" si="5"/>
        <v>118</v>
      </c>
      <c r="G22">
        <f t="shared" si="6"/>
        <v>26</v>
      </c>
    </row>
    <row r="23" spans="1:7" x14ac:dyDescent="0.15">
      <c r="A23" t="str">
        <f t="shared" si="3"/>
        <v>120</v>
      </c>
      <c r="B23">
        <v>23</v>
      </c>
      <c r="C23" s="71" t="s">
        <v>1253</v>
      </c>
      <c r="D23" t="s">
        <v>1252</v>
      </c>
      <c r="E23">
        <f t="shared" si="4"/>
        <v>249</v>
      </c>
      <c r="F23">
        <f t="shared" si="5"/>
        <v>223</v>
      </c>
      <c r="G23">
        <f t="shared" si="6"/>
        <v>121</v>
      </c>
    </row>
    <row r="24" spans="1:7" x14ac:dyDescent="0.15">
      <c r="A24" t="str">
        <f t="shared" si="3"/>
        <v>121</v>
      </c>
      <c r="B24">
        <v>24</v>
      </c>
      <c r="C24" s="72" t="s">
        <v>1255</v>
      </c>
      <c r="D24" t="s">
        <v>1254</v>
      </c>
      <c r="E24">
        <f t="shared" si="4"/>
        <v>251</v>
      </c>
      <c r="F24">
        <f t="shared" si="5"/>
        <v>219</v>
      </c>
      <c r="G24">
        <f t="shared" si="6"/>
        <v>110</v>
      </c>
    </row>
    <row r="25" spans="1:7" x14ac:dyDescent="0.15">
      <c r="A25" t="str">
        <f t="shared" si="3"/>
        <v>122</v>
      </c>
      <c r="B25">
        <v>25</v>
      </c>
      <c r="C25" s="73" t="s">
        <v>1257</v>
      </c>
      <c r="D25" t="s">
        <v>1256</v>
      </c>
      <c r="E25">
        <f t="shared" si="4"/>
        <v>253</v>
      </c>
      <c r="F25">
        <f t="shared" si="5"/>
        <v>212</v>
      </c>
      <c r="G25">
        <f t="shared" si="6"/>
        <v>79</v>
      </c>
    </row>
    <row r="26" spans="1:7" x14ac:dyDescent="0.15">
      <c r="A26" t="str">
        <f t="shared" si="3"/>
        <v>123</v>
      </c>
      <c r="B26">
        <v>26</v>
      </c>
      <c r="C26" s="74" t="s">
        <v>1259</v>
      </c>
      <c r="D26" t="s">
        <v>1258</v>
      </c>
      <c r="E26">
        <f t="shared" si="4"/>
        <v>255</v>
      </c>
      <c r="F26">
        <f t="shared" si="5"/>
        <v>199</v>
      </c>
      <c r="G26">
        <f t="shared" si="6"/>
        <v>38</v>
      </c>
    </row>
    <row r="27" spans="1:7" x14ac:dyDescent="0.15">
      <c r="A27" t="str">
        <f t="shared" si="3"/>
        <v>124</v>
      </c>
      <c r="B27">
        <v>27</v>
      </c>
      <c r="C27" s="75" t="s">
        <v>1261</v>
      </c>
      <c r="D27" t="s">
        <v>1260</v>
      </c>
      <c r="E27">
        <f t="shared" si="4"/>
        <v>235</v>
      </c>
      <c r="F27">
        <f t="shared" si="5"/>
        <v>171</v>
      </c>
      <c r="G27">
        <f t="shared" si="6"/>
        <v>0</v>
      </c>
    </row>
    <row r="28" spans="1:7" x14ac:dyDescent="0.15">
      <c r="A28" t="str">
        <f t="shared" si="3"/>
        <v>125</v>
      </c>
      <c r="B28">
        <v>28</v>
      </c>
      <c r="C28" s="76" t="s">
        <v>1263</v>
      </c>
      <c r="D28" t="s">
        <v>1262</v>
      </c>
      <c r="E28">
        <f t="shared" si="4"/>
        <v>187</v>
      </c>
      <c r="F28">
        <f t="shared" si="5"/>
        <v>137</v>
      </c>
      <c r="G28">
        <f t="shared" si="6"/>
        <v>0</v>
      </c>
    </row>
    <row r="29" spans="1:7" x14ac:dyDescent="0.15">
      <c r="A29" t="str">
        <f t="shared" si="3"/>
        <v>126</v>
      </c>
      <c r="B29">
        <v>29</v>
      </c>
      <c r="C29" s="77" t="s">
        <v>1265</v>
      </c>
      <c r="D29" t="s">
        <v>1264</v>
      </c>
      <c r="E29">
        <f t="shared" si="4"/>
        <v>161</v>
      </c>
      <c r="F29">
        <f t="shared" si="5"/>
        <v>124</v>
      </c>
      <c r="G29">
        <f t="shared" si="6"/>
        <v>0</v>
      </c>
    </row>
    <row r="30" spans="1:7" x14ac:dyDescent="0.15">
      <c r="A30" t="str">
        <f t="shared" si="3"/>
        <v>127</v>
      </c>
      <c r="B30">
        <v>30</v>
      </c>
      <c r="C30" s="78" t="s">
        <v>1267</v>
      </c>
      <c r="D30" t="s">
        <v>1266</v>
      </c>
      <c r="E30">
        <f t="shared" si="4"/>
        <v>239</v>
      </c>
      <c r="F30">
        <f t="shared" si="5"/>
        <v>223</v>
      </c>
      <c r="G30">
        <f t="shared" si="6"/>
        <v>133</v>
      </c>
    </row>
    <row r="31" spans="1:7" x14ac:dyDescent="0.15">
      <c r="A31" t="str">
        <f t="shared" si="3"/>
        <v>128</v>
      </c>
      <c r="B31">
        <v>31</v>
      </c>
      <c r="C31" s="79" t="s">
        <v>1269</v>
      </c>
      <c r="D31" t="s">
        <v>1268</v>
      </c>
      <c r="E31">
        <f t="shared" si="4"/>
        <v>242</v>
      </c>
      <c r="F31">
        <f t="shared" si="5"/>
        <v>214</v>
      </c>
      <c r="G31">
        <f t="shared" si="6"/>
        <v>94</v>
      </c>
    </row>
    <row r="32" spans="1:7" x14ac:dyDescent="0.15">
      <c r="A32" t="str">
        <f t="shared" si="3"/>
        <v>129</v>
      </c>
      <c r="B32">
        <v>32</v>
      </c>
      <c r="C32" s="80" t="s">
        <v>1271</v>
      </c>
      <c r="D32" t="s">
        <v>1270</v>
      </c>
      <c r="E32">
        <f t="shared" si="4"/>
        <v>241</v>
      </c>
      <c r="F32">
        <f t="shared" si="5"/>
        <v>205</v>
      </c>
      <c r="G32">
        <f t="shared" si="6"/>
        <v>68</v>
      </c>
    </row>
    <row r="33" spans="1:7" x14ac:dyDescent="0.15">
      <c r="A33" t="str">
        <f t="shared" si="3"/>
        <v>130</v>
      </c>
      <c r="B33">
        <v>33</v>
      </c>
      <c r="C33" s="81" t="s">
        <v>1273</v>
      </c>
      <c r="D33" t="s">
        <v>1272</v>
      </c>
      <c r="E33">
        <f t="shared" si="4"/>
        <v>241</v>
      </c>
      <c r="F33">
        <f t="shared" si="5"/>
        <v>171</v>
      </c>
      <c r="G33">
        <f t="shared" si="6"/>
        <v>0</v>
      </c>
    </row>
    <row r="34" spans="1:7" x14ac:dyDescent="0.15">
      <c r="A34" t="str">
        <f t="shared" si="3"/>
        <v>131</v>
      </c>
      <c r="B34">
        <v>34</v>
      </c>
      <c r="C34" s="82" t="s">
        <v>1275</v>
      </c>
      <c r="D34" t="s">
        <v>1274</v>
      </c>
      <c r="E34">
        <f t="shared" si="4"/>
        <v>212</v>
      </c>
      <c r="F34">
        <f t="shared" si="5"/>
        <v>145</v>
      </c>
      <c r="G34">
        <f t="shared" si="6"/>
        <v>0</v>
      </c>
    </row>
    <row r="35" spans="1:7" x14ac:dyDescent="0.15">
      <c r="A35" t="str">
        <f t="shared" si="3"/>
        <v>132</v>
      </c>
      <c r="B35">
        <v>35</v>
      </c>
      <c r="C35" s="83" t="s">
        <v>1277</v>
      </c>
      <c r="D35" t="s">
        <v>1276</v>
      </c>
      <c r="E35">
        <f t="shared" si="4"/>
        <v>166</v>
      </c>
      <c r="F35">
        <f t="shared" si="5"/>
        <v>122</v>
      </c>
      <c r="G35">
        <f t="shared" si="6"/>
        <v>0</v>
      </c>
    </row>
    <row r="36" spans="1:7" x14ac:dyDescent="0.15">
      <c r="A36" t="str">
        <f t="shared" si="3"/>
        <v>133</v>
      </c>
      <c r="B36">
        <v>36</v>
      </c>
      <c r="C36" s="84" t="s">
        <v>1279</v>
      </c>
      <c r="D36" t="s">
        <v>1278</v>
      </c>
      <c r="E36">
        <f t="shared" si="4"/>
        <v>113</v>
      </c>
      <c r="F36">
        <f t="shared" si="5"/>
        <v>89</v>
      </c>
      <c r="G36">
        <f t="shared" si="6"/>
        <v>19</v>
      </c>
    </row>
    <row r="37" spans="1:7" x14ac:dyDescent="0.15">
      <c r="A37" t="str">
        <f t="shared" si="3"/>
        <v>134</v>
      </c>
      <c r="B37">
        <v>37</v>
      </c>
      <c r="C37" s="85" t="s">
        <v>1281</v>
      </c>
      <c r="D37" t="s">
        <v>1280</v>
      </c>
      <c r="E37">
        <f t="shared" si="4"/>
        <v>248</v>
      </c>
      <c r="F37">
        <f t="shared" si="5"/>
        <v>213</v>
      </c>
      <c r="G37">
        <f t="shared" si="6"/>
        <v>131</v>
      </c>
    </row>
    <row r="38" spans="1:7" x14ac:dyDescent="0.15">
      <c r="A38" t="str">
        <f t="shared" si="3"/>
        <v>135</v>
      </c>
      <c r="B38">
        <v>38</v>
      </c>
      <c r="C38" s="86" t="s">
        <v>1283</v>
      </c>
      <c r="D38" t="s">
        <v>1282</v>
      </c>
      <c r="E38">
        <f t="shared" si="4"/>
        <v>254</v>
      </c>
      <c r="F38">
        <f t="shared" si="5"/>
        <v>200</v>
      </c>
      <c r="G38">
        <f t="shared" si="6"/>
        <v>90</v>
      </c>
    </row>
    <row r="39" spans="1:7" x14ac:dyDescent="0.15">
      <c r="A39" t="str">
        <f t="shared" si="3"/>
        <v>136</v>
      </c>
      <c r="B39">
        <v>39</v>
      </c>
      <c r="C39" s="87" t="s">
        <v>1285</v>
      </c>
      <c r="D39" t="s">
        <v>1284</v>
      </c>
      <c r="E39">
        <f t="shared" si="4"/>
        <v>255</v>
      </c>
      <c r="F39">
        <f t="shared" si="5"/>
        <v>188</v>
      </c>
      <c r="G39">
        <f t="shared" si="6"/>
        <v>58</v>
      </c>
    </row>
    <row r="40" spans="1:7" x14ac:dyDescent="0.15">
      <c r="A40" t="str">
        <f t="shared" si="3"/>
        <v>137</v>
      </c>
      <c r="B40">
        <v>40</v>
      </c>
      <c r="C40" s="88" t="s">
        <v>1287</v>
      </c>
      <c r="D40" t="s">
        <v>1286</v>
      </c>
      <c r="E40">
        <f t="shared" si="4"/>
        <v>255</v>
      </c>
      <c r="F40">
        <f t="shared" si="5"/>
        <v>159</v>
      </c>
      <c r="G40">
        <f t="shared" si="6"/>
        <v>0</v>
      </c>
    </row>
    <row r="41" spans="1:7" x14ac:dyDescent="0.15">
      <c r="A41" t="str">
        <f t="shared" si="3"/>
        <v>138</v>
      </c>
      <c r="B41">
        <v>41</v>
      </c>
      <c r="C41" s="89" t="s">
        <v>1289</v>
      </c>
      <c r="D41" t="s">
        <v>1288</v>
      </c>
      <c r="E41">
        <f t="shared" si="4"/>
        <v>228</v>
      </c>
      <c r="F41">
        <f t="shared" si="5"/>
        <v>127</v>
      </c>
      <c r="G41">
        <f t="shared" si="6"/>
        <v>0</v>
      </c>
    </row>
    <row r="42" spans="1:7" x14ac:dyDescent="0.15">
      <c r="A42" t="str">
        <f t="shared" si="3"/>
        <v>139</v>
      </c>
      <c r="B42">
        <v>42</v>
      </c>
      <c r="C42" s="90" t="s">
        <v>1291</v>
      </c>
      <c r="D42" t="s">
        <v>1290</v>
      </c>
      <c r="E42">
        <f t="shared" si="4"/>
        <v>182</v>
      </c>
      <c r="F42">
        <f t="shared" si="5"/>
        <v>113</v>
      </c>
      <c r="G42">
        <f t="shared" si="6"/>
        <v>0</v>
      </c>
    </row>
    <row r="43" spans="1:7" x14ac:dyDescent="0.15">
      <c r="A43" t="str">
        <f t="shared" si="3"/>
        <v>140</v>
      </c>
      <c r="B43">
        <v>43</v>
      </c>
      <c r="C43" s="91" t="s">
        <v>1293</v>
      </c>
      <c r="D43" t="s">
        <v>1292</v>
      </c>
      <c r="E43">
        <f t="shared" si="4"/>
        <v>122</v>
      </c>
      <c r="F43">
        <f t="shared" si="5"/>
        <v>86</v>
      </c>
      <c r="G43">
        <f t="shared" si="6"/>
        <v>15</v>
      </c>
    </row>
    <row r="44" spans="1:7" x14ac:dyDescent="0.15">
      <c r="A44" t="str">
        <f t="shared" si="3"/>
        <v>141</v>
      </c>
      <c r="B44">
        <v>45</v>
      </c>
      <c r="C44" s="92" t="s">
        <v>1295</v>
      </c>
      <c r="D44" t="s">
        <v>1294</v>
      </c>
      <c r="E44">
        <f t="shared" si="4"/>
        <v>239</v>
      </c>
      <c r="F44">
        <f t="shared" si="5"/>
        <v>200</v>
      </c>
      <c r="G44">
        <f t="shared" si="6"/>
        <v>104</v>
      </c>
    </row>
    <row r="45" spans="1:7" x14ac:dyDescent="0.15">
      <c r="A45" t="str">
        <f t="shared" si="3"/>
        <v>142</v>
      </c>
      <c r="B45">
        <v>46</v>
      </c>
      <c r="C45" s="93" t="s">
        <v>1297</v>
      </c>
      <c r="D45" t="s">
        <v>1296</v>
      </c>
      <c r="E45">
        <f t="shared" si="4"/>
        <v>241</v>
      </c>
      <c r="F45">
        <f t="shared" si="5"/>
        <v>187</v>
      </c>
      <c r="G45">
        <f t="shared" si="6"/>
        <v>70</v>
      </c>
    </row>
    <row r="46" spans="1:7" x14ac:dyDescent="0.15">
      <c r="A46" t="str">
        <f t="shared" si="3"/>
        <v>143</v>
      </c>
      <c r="B46">
        <v>47</v>
      </c>
      <c r="C46" s="94" t="s">
        <v>1299</v>
      </c>
      <c r="D46" t="s">
        <v>1298</v>
      </c>
      <c r="E46">
        <f t="shared" si="4"/>
        <v>239</v>
      </c>
      <c r="F46">
        <f t="shared" si="5"/>
        <v>170</v>
      </c>
      <c r="G46">
        <f t="shared" si="6"/>
        <v>35</v>
      </c>
    </row>
    <row r="47" spans="1:7" x14ac:dyDescent="0.15">
      <c r="A47" t="str">
        <f t="shared" si="3"/>
        <v>144</v>
      </c>
      <c r="B47">
        <v>48</v>
      </c>
      <c r="C47" s="95" t="s">
        <v>1301</v>
      </c>
      <c r="D47" t="s">
        <v>1300</v>
      </c>
      <c r="E47">
        <f t="shared" si="4"/>
        <v>237</v>
      </c>
      <c r="F47">
        <f t="shared" si="5"/>
        <v>128</v>
      </c>
      <c r="G47">
        <f t="shared" si="6"/>
        <v>0</v>
      </c>
    </row>
    <row r="48" spans="1:7" x14ac:dyDescent="0.15">
      <c r="A48" t="str">
        <f t="shared" si="3"/>
        <v>145</v>
      </c>
      <c r="B48">
        <v>49</v>
      </c>
      <c r="C48" s="96" t="s">
        <v>1303</v>
      </c>
      <c r="D48" t="s">
        <v>1302</v>
      </c>
      <c r="E48">
        <f t="shared" si="4"/>
        <v>207</v>
      </c>
      <c r="F48">
        <f t="shared" si="5"/>
        <v>118</v>
      </c>
      <c r="G48">
        <f t="shared" si="6"/>
        <v>0</v>
      </c>
    </row>
    <row r="49" spans="1:7" x14ac:dyDescent="0.15">
      <c r="A49" t="str">
        <f t="shared" si="3"/>
        <v>146</v>
      </c>
      <c r="B49">
        <v>50</v>
      </c>
      <c r="C49" s="97" t="s">
        <v>1305</v>
      </c>
      <c r="D49" t="s">
        <v>1304</v>
      </c>
      <c r="E49">
        <f t="shared" si="4"/>
        <v>159</v>
      </c>
      <c r="F49">
        <f t="shared" si="5"/>
        <v>96</v>
      </c>
      <c r="G49">
        <f t="shared" si="6"/>
        <v>0</v>
      </c>
    </row>
    <row r="50" spans="1:7" x14ac:dyDescent="0.15">
      <c r="A50" t="str">
        <f t="shared" si="3"/>
        <v>147</v>
      </c>
      <c r="B50">
        <v>51</v>
      </c>
      <c r="C50" s="98" t="s">
        <v>1307</v>
      </c>
      <c r="D50" t="s">
        <v>1306</v>
      </c>
      <c r="E50">
        <f t="shared" si="4"/>
        <v>113</v>
      </c>
      <c r="F50">
        <f t="shared" si="5"/>
        <v>88</v>
      </c>
      <c r="G50">
        <f t="shared" si="6"/>
        <v>33</v>
      </c>
    </row>
    <row r="51" spans="1:7" x14ac:dyDescent="0.15">
      <c r="A51" t="str">
        <f t="shared" si="3"/>
        <v>148</v>
      </c>
      <c r="B51">
        <v>52</v>
      </c>
      <c r="C51" s="99" t="s">
        <v>1309</v>
      </c>
      <c r="D51" t="s">
        <v>1308</v>
      </c>
      <c r="E51">
        <f t="shared" si="4"/>
        <v>251</v>
      </c>
      <c r="F51">
        <f t="shared" si="5"/>
        <v>208</v>
      </c>
      <c r="G51">
        <f t="shared" si="6"/>
        <v>157</v>
      </c>
    </row>
    <row r="52" spans="1:7" x14ac:dyDescent="0.15">
      <c r="A52" t="str">
        <f t="shared" si="3"/>
        <v>149</v>
      </c>
      <c r="B52">
        <v>53</v>
      </c>
      <c r="C52" s="100" t="s">
        <v>1311</v>
      </c>
      <c r="D52" t="s">
        <v>1310</v>
      </c>
      <c r="E52">
        <f t="shared" si="4"/>
        <v>254</v>
      </c>
      <c r="F52">
        <f t="shared" si="5"/>
        <v>198</v>
      </c>
      <c r="G52">
        <f t="shared" si="6"/>
        <v>136</v>
      </c>
    </row>
    <row r="53" spans="1:7" x14ac:dyDescent="0.15">
      <c r="A53" t="str">
        <f t="shared" si="3"/>
        <v>150</v>
      </c>
      <c r="B53">
        <v>54</v>
      </c>
      <c r="C53" s="101" t="s">
        <v>1313</v>
      </c>
      <c r="D53" t="s">
        <v>1312</v>
      </c>
      <c r="E53">
        <f t="shared" si="4"/>
        <v>255</v>
      </c>
      <c r="F53">
        <f t="shared" si="5"/>
        <v>169</v>
      </c>
      <c r="G53">
        <f t="shared" si="6"/>
        <v>79</v>
      </c>
    </row>
    <row r="54" spans="1:7" x14ac:dyDescent="0.15">
      <c r="A54" t="str">
        <f t="shared" si="3"/>
        <v>151</v>
      </c>
      <c r="B54">
        <v>55</v>
      </c>
      <c r="C54" s="102" t="s">
        <v>1315</v>
      </c>
      <c r="D54" t="s">
        <v>1314</v>
      </c>
      <c r="E54">
        <f t="shared" si="4"/>
        <v>255</v>
      </c>
      <c r="F54">
        <f t="shared" si="5"/>
        <v>115</v>
      </c>
      <c r="G54">
        <f t="shared" si="6"/>
        <v>0</v>
      </c>
    </row>
    <row r="55" spans="1:7" x14ac:dyDescent="0.15">
      <c r="A55" t="str">
        <f t="shared" si="3"/>
        <v>152</v>
      </c>
      <c r="B55">
        <v>56</v>
      </c>
      <c r="C55" s="103" t="s">
        <v>1317</v>
      </c>
      <c r="D55" t="s">
        <v>1316</v>
      </c>
      <c r="E55">
        <f t="shared" si="4"/>
        <v>231</v>
      </c>
      <c r="F55">
        <f t="shared" si="5"/>
        <v>111</v>
      </c>
      <c r="G55">
        <f t="shared" si="6"/>
        <v>0</v>
      </c>
    </row>
    <row r="56" spans="1:7" x14ac:dyDescent="0.15">
      <c r="A56" t="str">
        <f t="shared" si="3"/>
        <v>153</v>
      </c>
      <c r="B56">
        <v>57</v>
      </c>
      <c r="C56" s="104" t="s">
        <v>1319</v>
      </c>
      <c r="D56" t="s">
        <v>1318</v>
      </c>
      <c r="E56">
        <f t="shared" si="4"/>
        <v>192</v>
      </c>
      <c r="F56">
        <f t="shared" si="5"/>
        <v>102</v>
      </c>
      <c r="G56">
        <f t="shared" si="6"/>
        <v>0</v>
      </c>
    </row>
    <row r="57" spans="1:7" x14ac:dyDescent="0.15">
      <c r="A57" t="str">
        <f t="shared" si="3"/>
        <v>154</v>
      </c>
      <c r="B57">
        <v>58</v>
      </c>
      <c r="C57" s="105" t="s">
        <v>1321</v>
      </c>
      <c r="D57" t="s">
        <v>1320</v>
      </c>
      <c r="E57">
        <f t="shared" si="4"/>
        <v>153</v>
      </c>
      <c r="F57">
        <f t="shared" si="5"/>
        <v>84</v>
      </c>
      <c r="G57">
        <f t="shared" si="6"/>
        <v>9</v>
      </c>
    </row>
    <row r="58" spans="1:7" x14ac:dyDescent="0.15">
      <c r="A58" t="str">
        <f t="shared" si="3"/>
        <v>155</v>
      </c>
      <c r="B58">
        <v>59</v>
      </c>
      <c r="C58" s="106" t="s">
        <v>1323</v>
      </c>
      <c r="D58" t="s">
        <v>1322</v>
      </c>
      <c r="E58">
        <f t="shared" si="4"/>
        <v>236</v>
      </c>
      <c r="F58">
        <f t="shared" si="5"/>
        <v>214</v>
      </c>
      <c r="G58">
        <f t="shared" si="6"/>
        <v>175</v>
      </c>
    </row>
    <row r="59" spans="1:7" x14ac:dyDescent="0.15">
      <c r="A59" t="str">
        <f t="shared" si="3"/>
        <v>156</v>
      </c>
      <c r="B59">
        <v>60</v>
      </c>
      <c r="C59" s="107" t="s">
        <v>1325</v>
      </c>
      <c r="D59" t="s">
        <v>1324</v>
      </c>
      <c r="E59">
        <f t="shared" si="4"/>
        <v>239</v>
      </c>
      <c r="F59">
        <f t="shared" si="5"/>
        <v>193</v>
      </c>
      <c r="G59">
        <f t="shared" si="6"/>
        <v>138</v>
      </c>
    </row>
    <row r="60" spans="1:7" x14ac:dyDescent="0.15">
      <c r="A60" t="str">
        <f t="shared" si="3"/>
        <v>157</v>
      </c>
      <c r="B60">
        <v>61</v>
      </c>
      <c r="C60" s="108" t="s">
        <v>1327</v>
      </c>
      <c r="D60" t="s">
        <v>1326</v>
      </c>
      <c r="E60">
        <f t="shared" si="4"/>
        <v>237</v>
      </c>
      <c r="F60">
        <f t="shared" si="5"/>
        <v>155</v>
      </c>
      <c r="G60">
        <f t="shared" si="6"/>
        <v>79</v>
      </c>
    </row>
    <row r="61" spans="1:7" x14ac:dyDescent="0.15">
      <c r="A61" t="str">
        <f t="shared" si="3"/>
        <v>158</v>
      </c>
      <c r="B61">
        <v>62</v>
      </c>
      <c r="C61" s="109" t="s">
        <v>1329</v>
      </c>
      <c r="D61" t="s">
        <v>1328</v>
      </c>
      <c r="E61">
        <f t="shared" si="4"/>
        <v>233</v>
      </c>
      <c r="F61">
        <f t="shared" si="5"/>
        <v>107</v>
      </c>
      <c r="G61">
        <f t="shared" si="6"/>
        <v>16</v>
      </c>
    </row>
    <row r="62" spans="1:7" x14ac:dyDescent="0.15">
      <c r="A62" t="str">
        <f t="shared" si="3"/>
        <v>159</v>
      </c>
      <c r="B62">
        <v>63</v>
      </c>
      <c r="C62" s="110" t="s">
        <v>1331</v>
      </c>
      <c r="D62" t="s">
        <v>1330</v>
      </c>
      <c r="E62">
        <f t="shared" si="4"/>
        <v>205</v>
      </c>
      <c r="F62">
        <f t="shared" si="5"/>
        <v>88</v>
      </c>
      <c r="G62">
        <f t="shared" si="6"/>
        <v>6</v>
      </c>
    </row>
    <row r="63" spans="1:7" x14ac:dyDescent="0.15">
      <c r="A63" t="str">
        <f t="shared" si="3"/>
        <v>160</v>
      </c>
      <c r="B63">
        <v>64</v>
      </c>
      <c r="C63" s="111" t="s">
        <v>1333</v>
      </c>
      <c r="D63" t="s">
        <v>1332</v>
      </c>
      <c r="E63">
        <f t="shared" si="4"/>
        <v>162</v>
      </c>
      <c r="F63">
        <f t="shared" si="5"/>
        <v>78</v>
      </c>
      <c r="G63">
        <f t="shared" si="6"/>
        <v>18</v>
      </c>
    </row>
    <row r="64" spans="1:7" x14ac:dyDescent="0.15">
      <c r="A64" t="str">
        <f t="shared" si="3"/>
        <v>161</v>
      </c>
      <c r="B64">
        <v>65</v>
      </c>
      <c r="C64" s="112" t="s">
        <v>1335</v>
      </c>
      <c r="D64" t="s">
        <v>1334</v>
      </c>
      <c r="E64">
        <f t="shared" si="4"/>
        <v>97</v>
      </c>
      <c r="F64">
        <f t="shared" si="5"/>
        <v>53</v>
      </c>
      <c r="G64">
        <f t="shared" si="6"/>
        <v>23</v>
      </c>
    </row>
    <row r="65" spans="1:7" x14ac:dyDescent="0.15">
      <c r="A65" t="str">
        <f t="shared" si="3"/>
        <v>162</v>
      </c>
      <c r="B65">
        <v>67</v>
      </c>
      <c r="C65" s="113" t="s">
        <v>1337</v>
      </c>
      <c r="D65" t="s">
        <v>1336</v>
      </c>
      <c r="E65">
        <f t="shared" si="4"/>
        <v>253</v>
      </c>
      <c r="F65">
        <f t="shared" si="5"/>
        <v>195</v>
      </c>
      <c r="G65">
        <f t="shared" si="6"/>
        <v>170</v>
      </c>
    </row>
    <row r="66" spans="1:7" x14ac:dyDescent="0.15">
      <c r="A66" t="str">
        <f t="shared" si="3"/>
        <v>163</v>
      </c>
      <c r="B66">
        <v>68</v>
      </c>
      <c r="C66" s="114" t="s">
        <v>1339</v>
      </c>
      <c r="D66" t="s">
        <v>1338</v>
      </c>
      <c r="E66">
        <f t="shared" si="4"/>
        <v>255</v>
      </c>
      <c r="F66">
        <f t="shared" si="5"/>
        <v>156</v>
      </c>
      <c r="G66">
        <f t="shared" si="6"/>
        <v>113</v>
      </c>
    </row>
    <row r="67" spans="1:7" x14ac:dyDescent="0.15">
      <c r="A67" t="str">
        <f t="shared" ref="A67:A130" si="7">LEFT(D67,LEN(D67)-1)</f>
        <v>164</v>
      </c>
      <c r="B67">
        <v>69</v>
      </c>
      <c r="C67" s="115" t="s">
        <v>1341</v>
      </c>
      <c r="D67" t="s">
        <v>1340</v>
      </c>
      <c r="E67">
        <f t="shared" si="4"/>
        <v>255</v>
      </c>
      <c r="F67">
        <f t="shared" si="5"/>
        <v>126</v>
      </c>
      <c r="G67">
        <f t="shared" si="6"/>
        <v>67</v>
      </c>
    </row>
    <row r="68" spans="1:7" x14ac:dyDescent="0.15">
      <c r="A68" t="str">
        <f t="shared" si="7"/>
        <v>165</v>
      </c>
      <c r="B68">
        <v>70</v>
      </c>
      <c r="C68" s="116" t="s">
        <v>1343</v>
      </c>
      <c r="D68" t="s">
        <v>1342</v>
      </c>
      <c r="E68">
        <f t="shared" si="4"/>
        <v>255</v>
      </c>
      <c r="F68">
        <f t="shared" si="5"/>
        <v>95</v>
      </c>
      <c r="G68">
        <f t="shared" si="6"/>
        <v>0</v>
      </c>
    </row>
    <row r="69" spans="1:7" x14ac:dyDescent="0.15">
      <c r="A69" t="str">
        <f t="shared" si="7"/>
        <v>166</v>
      </c>
      <c r="B69">
        <v>71</v>
      </c>
      <c r="C69" s="117" t="s">
        <v>1345</v>
      </c>
      <c r="D69" t="s">
        <v>1344</v>
      </c>
      <c r="E69">
        <f t="shared" si="4"/>
        <v>229</v>
      </c>
      <c r="F69">
        <f t="shared" si="5"/>
        <v>83</v>
      </c>
      <c r="G69">
        <f t="shared" si="6"/>
        <v>0</v>
      </c>
    </row>
    <row r="70" spans="1:7" x14ac:dyDescent="0.15">
      <c r="A70" t="str">
        <f t="shared" si="7"/>
        <v>167</v>
      </c>
      <c r="B70">
        <v>72</v>
      </c>
      <c r="C70" s="118" t="s">
        <v>1347</v>
      </c>
      <c r="D70" t="s">
        <v>1346</v>
      </c>
      <c r="E70">
        <f t="shared" ref="E70:E133" si="8">HEX2DEC(MID(C70,2,2))</f>
        <v>194</v>
      </c>
      <c r="F70">
        <f t="shared" ref="F70:F133" si="9">HEX2DEC(MID(C70,4,2))</f>
        <v>81</v>
      </c>
      <c r="G70">
        <f t="shared" ref="G70:G133" si="10">HEX2DEC(MID(C70,6,2))</f>
        <v>15</v>
      </c>
    </row>
    <row r="71" spans="1:7" x14ac:dyDescent="0.15">
      <c r="A71" t="str">
        <f t="shared" si="7"/>
        <v>168</v>
      </c>
      <c r="B71">
        <v>73</v>
      </c>
      <c r="C71" s="119" t="s">
        <v>1349</v>
      </c>
      <c r="D71" t="s">
        <v>1348</v>
      </c>
      <c r="E71">
        <f t="shared" si="8"/>
        <v>111</v>
      </c>
      <c r="F71">
        <f t="shared" si="9"/>
        <v>48</v>
      </c>
      <c r="G71">
        <f t="shared" si="10"/>
        <v>20</v>
      </c>
    </row>
    <row r="72" spans="1:7" x14ac:dyDescent="0.15">
      <c r="A72" t="str">
        <f t="shared" si="7"/>
        <v>169</v>
      </c>
      <c r="B72">
        <v>74</v>
      </c>
      <c r="C72" s="120" t="s">
        <v>1351</v>
      </c>
      <c r="D72" t="s">
        <v>1350</v>
      </c>
      <c r="E72">
        <f t="shared" si="8"/>
        <v>255</v>
      </c>
      <c r="F72">
        <f t="shared" si="9"/>
        <v>182</v>
      </c>
      <c r="G72">
        <f t="shared" si="10"/>
        <v>177</v>
      </c>
    </row>
    <row r="73" spans="1:7" x14ac:dyDescent="0.15">
      <c r="A73" t="str">
        <f t="shared" si="7"/>
        <v>170</v>
      </c>
      <c r="B73">
        <v>75</v>
      </c>
      <c r="C73" s="121" t="s">
        <v>1353</v>
      </c>
      <c r="D73" t="s">
        <v>1352</v>
      </c>
      <c r="E73">
        <f t="shared" si="8"/>
        <v>255</v>
      </c>
      <c r="F73">
        <f t="shared" si="9"/>
        <v>137</v>
      </c>
      <c r="G73">
        <f t="shared" si="10"/>
        <v>123</v>
      </c>
    </row>
    <row r="74" spans="1:7" x14ac:dyDescent="0.15">
      <c r="A74" t="str">
        <f t="shared" si="7"/>
        <v>171</v>
      </c>
      <c r="B74">
        <v>76</v>
      </c>
      <c r="C74" s="122" t="s">
        <v>1355</v>
      </c>
      <c r="D74" t="s">
        <v>1354</v>
      </c>
      <c r="E74">
        <f t="shared" si="8"/>
        <v>255</v>
      </c>
      <c r="F74">
        <f t="shared" si="9"/>
        <v>97</v>
      </c>
      <c r="G74">
        <f t="shared" si="10"/>
        <v>65</v>
      </c>
    </row>
    <row r="75" spans="1:7" x14ac:dyDescent="0.15">
      <c r="A75" t="str">
        <f t="shared" si="7"/>
        <v>172</v>
      </c>
      <c r="B75">
        <v>77</v>
      </c>
      <c r="C75" s="123" t="s">
        <v>1357</v>
      </c>
      <c r="D75" t="s">
        <v>1356</v>
      </c>
      <c r="E75">
        <f t="shared" si="8"/>
        <v>253</v>
      </c>
      <c r="F75">
        <f t="shared" si="9"/>
        <v>71</v>
      </c>
      <c r="G75">
        <f t="shared" si="10"/>
        <v>3</v>
      </c>
    </row>
    <row r="76" spans="1:7" x14ac:dyDescent="0.15">
      <c r="A76" t="str">
        <f t="shared" si="7"/>
        <v>173</v>
      </c>
      <c r="B76">
        <v>78</v>
      </c>
      <c r="C76" s="124" t="s">
        <v>1359</v>
      </c>
      <c r="D76" t="s">
        <v>1358</v>
      </c>
      <c r="E76">
        <f t="shared" si="8"/>
        <v>216</v>
      </c>
      <c r="F76">
        <f t="shared" si="9"/>
        <v>69</v>
      </c>
      <c r="G76">
        <f t="shared" si="10"/>
        <v>25</v>
      </c>
    </row>
    <row r="77" spans="1:7" x14ac:dyDescent="0.15">
      <c r="A77" t="str">
        <f t="shared" si="7"/>
        <v>174</v>
      </c>
      <c r="B77">
        <v>79</v>
      </c>
      <c r="C77" s="125" t="s">
        <v>1361</v>
      </c>
      <c r="D77" t="s">
        <v>1360</v>
      </c>
      <c r="E77">
        <f t="shared" si="8"/>
        <v>154</v>
      </c>
      <c r="F77">
        <f t="shared" si="9"/>
        <v>52</v>
      </c>
      <c r="G77">
        <f t="shared" si="10"/>
        <v>22</v>
      </c>
    </row>
    <row r="78" spans="1:7" x14ac:dyDescent="0.15">
      <c r="A78" t="str">
        <f t="shared" si="7"/>
        <v>175</v>
      </c>
      <c r="B78">
        <v>80</v>
      </c>
      <c r="C78" s="126" t="s">
        <v>1363</v>
      </c>
      <c r="D78" t="s">
        <v>1362</v>
      </c>
      <c r="E78">
        <f t="shared" si="8"/>
        <v>112</v>
      </c>
      <c r="F78">
        <f t="shared" si="9"/>
        <v>50</v>
      </c>
      <c r="G78">
        <f t="shared" si="10"/>
        <v>34</v>
      </c>
    </row>
    <row r="79" spans="1:7" x14ac:dyDescent="0.15">
      <c r="A79" t="str">
        <f t="shared" si="7"/>
        <v>176</v>
      </c>
      <c r="B79">
        <v>81</v>
      </c>
      <c r="C79" s="127" t="s">
        <v>1365</v>
      </c>
      <c r="D79" t="s">
        <v>1364</v>
      </c>
      <c r="E79">
        <f t="shared" si="8"/>
        <v>255</v>
      </c>
      <c r="F79">
        <f t="shared" si="9"/>
        <v>172</v>
      </c>
      <c r="G79">
        <f t="shared" si="10"/>
        <v>185</v>
      </c>
    </row>
    <row r="80" spans="1:7" x14ac:dyDescent="0.15">
      <c r="A80" t="str">
        <f t="shared" si="7"/>
        <v>177</v>
      </c>
      <c r="B80">
        <v>82</v>
      </c>
      <c r="C80" s="128" t="s">
        <v>1367</v>
      </c>
      <c r="D80" t="s">
        <v>1366</v>
      </c>
      <c r="E80">
        <f t="shared" si="8"/>
        <v>255</v>
      </c>
      <c r="F80">
        <f t="shared" si="9"/>
        <v>129</v>
      </c>
      <c r="G80">
        <f t="shared" si="10"/>
        <v>140</v>
      </c>
    </row>
    <row r="81" spans="1:7" x14ac:dyDescent="0.15">
      <c r="A81" t="str">
        <f t="shared" si="7"/>
        <v>178</v>
      </c>
      <c r="B81">
        <v>83</v>
      </c>
      <c r="C81" s="129" t="s">
        <v>1369</v>
      </c>
      <c r="D81" t="s">
        <v>1368</v>
      </c>
      <c r="E81">
        <f t="shared" si="8"/>
        <v>255</v>
      </c>
      <c r="F81">
        <f t="shared" si="9"/>
        <v>91</v>
      </c>
      <c r="G81">
        <f t="shared" si="10"/>
        <v>96</v>
      </c>
    </row>
    <row r="82" spans="1:7" x14ac:dyDescent="0.15">
      <c r="A82" t="str">
        <f t="shared" si="7"/>
        <v xml:space="preserve">Warm Red </v>
      </c>
      <c r="B82">
        <v>84</v>
      </c>
      <c r="C82" s="130" t="s">
        <v>1371</v>
      </c>
      <c r="D82" t="s">
        <v>1370</v>
      </c>
      <c r="E82">
        <f t="shared" si="8"/>
        <v>249</v>
      </c>
      <c r="F82">
        <f t="shared" si="9"/>
        <v>63</v>
      </c>
      <c r="G82">
        <f t="shared" si="10"/>
        <v>38</v>
      </c>
    </row>
    <row r="83" spans="1:7" x14ac:dyDescent="0.15">
      <c r="A83" t="str">
        <f t="shared" si="7"/>
        <v>179</v>
      </c>
      <c r="B83">
        <v>85</v>
      </c>
      <c r="C83" s="131" t="s">
        <v>1373</v>
      </c>
      <c r="D83" t="s">
        <v>1372</v>
      </c>
      <c r="E83">
        <f t="shared" si="8"/>
        <v>226</v>
      </c>
      <c r="F83">
        <f t="shared" si="9"/>
        <v>56</v>
      </c>
      <c r="G83">
        <f t="shared" si="10"/>
        <v>40</v>
      </c>
    </row>
    <row r="84" spans="1:7" x14ac:dyDescent="0.15">
      <c r="A84" t="str">
        <f t="shared" si="7"/>
        <v>180</v>
      </c>
      <c r="B84">
        <v>86</v>
      </c>
      <c r="C84" s="132" t="s">
        <v>1375</v>
      </c>
      <c r="D84" t="s">
        <v>1374</v>
      </c>
      <c r="E84">
        <f t="shared" si="8"/>
        <v>192</v>
      </c>
      <c r="F84">
        <f t="shared" si="9"/>
        <v>54</v>
      </c>
      <c r="G84">
        <f t="shared" si="10"/>
        <v>44</v>
      </c>
    </row>
    <row r="85" spans="1:7" x14ac:dyDescent="0.15">
      <c r="A85" t="str">
        <f t="shared" si="7"/>
        <v>181</v>
      </c>
      <c r="B85">
        <v>87</v>
      </c>
      <c r="C85" s="133" t="s">
        <v>1377</v>
      </c>
      <c r="D85" t="s">
        <v>1376</v>
      </c>
      <c r="E85">
        <f t="shared" si="8"/>
        <v>121</v>
      </c>
      <c r="F85">
        <f t="shared" si="9"/>
        <v>39</v>
      </c>
      <c r="G85">
        <f t="shared" si="10"/>
        <v>32</v>
      </c>
    </row>
    <row r="86" spans="1:7" x14ac:dyDescent="0.15">
      <c r="A86" t="str">
        <f t="shared" si="7"/>
        <v>182</v>
      </c>
      <c r="B86">
        <v>89</v>
      </c>
      <c r="C86" s="134" t="s">
        <v>1379</v>
      </c>
      <c r="D86" t="s">
        <v>1378</v>
      </c>
      <c r="E86">
        <f t="shared" si="8"/>
        <v>248</v>
      </c>
      <c r="F86">
        <f t="shared" si="9"/>
        <v>184</v>
      </c>
      <c r="G86">
        <f t="shared" si="10"/>
        <v>203</v>
      </c>
    </row>
    <row r="87" spans="1:7" x14ac:dyDescent="0.15">
      <c r="A87" t="str">
        <f t="shared" si="7"/>
        <v>183</v>
      </c>
      <c r="B87">
        <v>90</v>
      </c>
      <c r="C87" s="135" t="s">
        <v>1381</v>
      </c>
      <c r="D87" t="s">
        <v>1380</v>
      </c>
      <c r="E87">
        <f t="shared" si="8"/>
        <v>252</v>
      </c>
      <c r="F87">
        <f t="shared" si="9"/>
        <v>141</v>
      </c>
      <c r="G87">
        <f t="shared" si="10"/>
        <v>169</v>
      </c>
    </row>
    <row r="88" spans="1:7" x14ac:dyDescent="0.15">
      <c r="A88" t="str">
        <f t="shared" si="7"/>
        <v>184</v>
      </c>
      <c r="B88">
        <v>91</v>
      </c>
      <c r="C88" s="136" t="s">
        <v>1383</v>
      </c>
      <c r="D88" t="s">
        <v>1382</v>
      </c>
      <c r="E88">
        <f t="shared" si="8"/>
        <v>248</v>
      </c>
      <c r="F88">
        <f t="shared" si="9"/>
        <v>93</v>
      </c>
      <c r="G88">
        <f t="shared" si="10"/>
        <v>126</v>
      </c>
    </row>
    <row r="89" spans="1:7" x14ac:dyDescent="0.15">
      <c r="A89" t="str">
        <f t="shared" si="7"/>
        <v>185</v>
      </c>
      <c r="B89">
        <v>92</v>
      </c>
      <c r="C89" s="137" t="s">
        <v>1385</v>
      </c>
      <c r="D89" t="s">
        <v>1384</v>
      </c>
      <c r="E89">
        <f t="shared" si="8"/>
        <v>234</v>
      </c>
      <c r="F89">
        <f t="shared" si="9"/>
        <v>4</v>
      </c>
      <c r="G89">
        <f t="shared" si="10"/>
        <v>55</v>
      </c>
    </row>
    <row r="90" spans="1:7" x14ac:dyDescent="0.15">
      <c r="A90" t="str">
        <f t="shared" si="7"/>
        <v>186</v>
      </c>
      <c r="B90">
        <v>93</v>
      </c>
      <c r="C90" s="138" t="s">
        <v>1387</v>
      </c>
      <c r="D90" t="s">
        <v>1386</v>
      </c>
      <c r="E90">
        <f t="shared" si="8"/>
        <v>210</v>
      </c>
      <c r="F90">
        <f t="shared" si="9"/>
        <v>16</v>
      </c>
      <c r="G90">
        <f t="shared" si="10"/>
        <v>52</v>
      </c>
    </row>
    <row r="91" spans="1:7" x14ac:dyDescent="0.15">
      <c r="A91" t="str">
        <f t="shared" si="7"/>
        <v>187</v>
      </c>
      <c r="B91">
        <v>94</v>
      </c>
      <c r="C91" s="139" t="s">
        <v>1389</v>
      </c>
      <c r="D91" t="s">
        <v>1388</v>
      </c>
      <c r="E91">
        <f t="shared" si="8"/>
        <v>179</v>
      </c>
      <c r="F91">
        <f t="shared" si="9"/>
        <v>27</v>
      </c>
      <c r="G91">
        <f t="shared" si="10"/>
        <v>52</v>
      </c>
    </row>
    <row r="92" spans="1:7" x14ac:dyDescent="0.15">
      <c r="A92" t="str">
        <f t="shared" si="7"/>
        <v>188</v>
      </c>
      <c r="B92">
        <v>95</v>
      </c>
      <c r="C92" s="140" t="s">
        <v>1391</v>
      </c>
      <c r="D92" t="s">
        <v>1390</v>
      </c>
      <c r="E92">
        <f t="shared" si="8"/>
        <v>124</v>
      </c>
      <c r="F92">
        <f t="shared" si="9"/>
        <v>34</v>
      </c>
      <c r="G92">
        <f t="shared" si="10"/>
        <v>48</v>
      </c>
    </row>
    <row r="93" spans="1:7" x14ac:dyDescent="0.15">
      <c r="A93" t="str">
        <f t="shared" si="7"/>
        <v>189</v>
      </c>
      <c r="B93">
        <v>96</v>
      </c>
      <c r="C93" s="141" t="s">
        <v>1393</v>
      </c>
      <c r="D93" t="s">
        <v>1392</v>
      </c>
      <c r="E93">
        <f t="shared" si="8"/>
        <v>248</v>
      </c>
      <c r="F93">
        <f t="shared" si="9"/>
        <v>161</v>
      </c>
      <c r="G93">
        <f t="shared" si="10"/>
        <v>190</v>
      </c>
    </row>
    <row r="94" spans="1:7" x14ac:dyDescent="0.15">
      <c r="A94" t="str">
        <f t="shared" si="7"/>
        <v>190</v>
      </c>
      <c r="B94">
        <v>97</v>
      </c>
      <c r="C94" s="142" t="s">
        <v>1395</v>
      </c>
      <c r="D94" t="s">
        <v>1394</v>
      </c>
      <c r="E94">
        <f t="shared" si="8"/>
        <v>248</v>
      </c>
      <c r="F94">
        <f t="shared" si="9"/>
        <v>119</v>
      </c>
      <c r="G94">
        <f t="shared" si="10"/>
        <v>158</v>
      </c>
    </row>
    <row r="95" spans="1:7" x14ac:dyDescent="0.15">
      <c r="A95" t="str">
        <f t="shared" si="7"/>
        <v>191</v>
      </c>
      <c r="B95">
        <v>98</v>
      </c>
      <c r="C95" s="143" t="s">
        <v>1397</v>
      </c>
      <c r="D95" t="s">
        <v>1396</v>
      </c>
      <c r="E95">
        <f t="shared" si="8"/>
        <v>242</v>
      </c>
      <c r="F95">
        <f t="shared" si="9"/>
        <v>63</v>
      </c>
      <c r="G95">
        <f t="shared" si="10"/>
        <v>114</v>
      </c>
    </row>
    <row r="96" spans="1:7" x14ac:dyDescent="0.15">
      <c r="A96" t="str">
        <f t="shared" si="7"/>
        <v>192</v>
      </c>
      <c r="B96">
        <v>99</v>
      </c>
      <c r="C96" s="144" t="s">
        <v>1399</v>
      </c>
      <c r="D96" t="s">
        <v>1398</v>
      </c>
      <c r="E96">
        <f t="shared" si="8"/>
        <v>233</v>
      </c>
      <c r="F96">
        <f t="shared" si="9"/>
        <v>6</v>
      </c>
      <c r="G96">
        <f t="shared" si="10"/>
        <v>73</v>
      </c>
    </row>
    <row r="97" spans="1:7" x14ac:dyDescent="0.15">
      <c r="A97" t="str">
        <f t="shared" si="7"/>
        <v>193</v>
      </c>
      <c r="B97">
        <v>100</v>
      </c>
      <c r="C97" s="145" t="s">
        <v>1401</v>
      </c>
      <c r="D97" t="s">
        <v>1400</v>
      </c>
      <c r="E97">
        <f t="shared" si="8"/>
        <v>195</v>
      </c>
      <c r="F97">
        <f t="shared" si="9"/>
        <v>12</v>
      </c>
      <c r="G97">
        <f t="shared" si="10"/>
        <v>62</v>
      </c>
    </row>
    <row r="98" spans="1:7" x14ac:dyDescent="0.15">
      <c r="A98" t="str">
        <f t="shared" si="7"/>
        <v>194</v>
      </c>
      <c r="B98">
        <v>101</v>
      </c>
      <c r="C98" s="146" t="s">
        <v>1403</v>
      </c>
      <c r="D98" t="s">
        <v>1402</v>
      </c>
      <c r="E98">
        <f t="shared" si="8"/>
        <v>156</v>
      </c>
      <c r="F98">
        <f t="shared" si="9"/>
        <v>30</v>
      </c>
      <c r="G98">
        <f t="shared" si="10"/>
        <v>61</v>
      </c>
    </row>
    <row r="99" spans="1:7" x14ac:dyDescent="0.15">
      <c r="A99" t="str">
        <f t="shared" si="7"/>
        <v>195</v>
      </c>
      <c r="B99">
        <v>102</v>
      </c>
      <c r="C99" s="147" t="s">
        <v>1405</v>
      </c>
      <c r="D99" t="s">
        <v>1404</v>
      </c>
      <c r="E99">
        <f t="shared" si="8"/>
        <v>119</v>
      </c>
      <c r="F99">
        <f t="shared" si="9"/>
        <v>49</v>
      </c>
      <c r="G99">
        <f t="shared" si="10"/>
        <v>65</v>
      </c>
    </row>
    <row r="100" spans="1:7" x14ac:dyDescent="0.15">
      <c r="A100" t="str">
        <f t="shared" si="7"/>
        <v>196</v>
      </c>
      <c r="B100">
        <v>103</v>
      </c>
      <c r="C100" s="148" t="s">
        <v>1407</v>
      </c>
      <c r="D100" t="s">
        <v>1406</v>
      </c>
      <c r="E100">
        <f t="shared" si="8"/>
        <v>235</v>
      </c>
      <c r="F100">
        <f t="shared" si="9"/>
        <v>198</v>
      </c>
      <c r="G100">
        <f t="shared" si="10"/>
        <v>211</v>
      </c>
    </row>
    <row r="101" spans="1:7" x14ac:dyDescent="0.15">
      <c r="A101" t="str">
        <f t="shared" si="7"/>
        <v>197</v>
      </c>
      <c r="B101">
        <v>104</v>
      </c>
      <c r="C101" s="149" t="s">
        <v>1409</v>
      </c>
      <c r="D101" t="s">
        <v>1408</v>
      </c>
      <c r="E101">
        <f t="shared" si="8"/>
        <v>235</v>
      </c>
      <c r="F101">
        <f t="shared" si="9"/>
        <v>155</v>
      </c>
      <c r="G101">
        <f t="shared" si="10"/>
        <v>178</v>
      </c>
    </row>
    <row r="102" spans="1:7" x14ac:dyDescent="0.15">
      <c r="A102" t="str">
        <f t="shared" si="7"/>
        <v>198</v>
      </c>
      <c r="B102">
        <v>105</v>
      </c>
      <c r="C102" s="150" t="s">
        <v>1411</v>
      </c>
      <c r="D102" t="s">
        <v>1410</v>
      </c>
      <c r="E102">
        <f t="shared" si="8"/>
        <v>228</v>
      </c>
      <c r="F102">
        <f t="shared" si="9"/>
        <v>77</v>
      </c>
      <c r="G102">
        <f t="shared" si="10"/>
        <v>111</v>
      </c>
    </row>
    <row r="103" spans="1:7" x14ac:dyDescent="0.15">
      <c r="A103" t="str">
        <f t="shared" si="7"/>
        <v>199</v>
      </c>
      <c r="B103">
        <v>106</v>
      </c>
      <c r="C103" s="151" t="s">
        <v>1413</v>
      </c>
      <c r="D103" t="s">
        <v>1412</v>
      </c>
      <c r="E103">
        <f t="shared" si="8"/>
        <v>219</v>
      </c>
      <c r="F103">
        <f t="shared" si="9"/>
        <v>12</v>
      </c>
      <c r="G103">
        <f t="shared" si="10"/>
        <v>65</v>
      </c>
    </row>
    <row r="104" spans="1:7" x14ac:dyDescent="0.15">
      <c r="A104" t="str">
        <f t="shared" si="7"/>
        <v>200</v>
      </c>
      <c r="B104">
        <v>107</v>
      </c>
      <c r="C104" s="152" t="s">
        <v>1415</v>
      </c>
      <c r="D104" t="s">
        <v>1414</v>
      </c>
      <c r="E104">
        <f t="shared" si="8"/>
        <v>193</v>
      </c>
      <c r="F104">
        <f t="shared" si="9"/>
        <v>4</v>
      </c>
      <c r="G104">
        <f t="shared" si="10"/>
        <v>53</v>
      </c>
    </row>
    <row r="105" spans="1:7" x14ac:dyDescent="0.15">
      <c r="A105" t="str">
        <f t="shared" si="7"/>
        <v>201</v>
      </c>
      <c r="B105">
        <v>108</v>
      </c>
      <c r="C105" s="153" t="s">
        <v>1417</v>
      </c>
      <c r="D105" t="s">
        <v>1416</v>
      </c>
      <c r="E105">
        <f t="shared" si="8"/>
        <v>158</v>
      </c>
      <c r="F105">
        <f t="shared" si="9"/>
        <v>27</v>
      </c>
      <c r="G105">
        <f t="shared" si="10"/>
        <v>52</v>
      </c>
    </row>
    <row r="106" spans="1:7" x14ac:dyDescent="0.15">
      <c r="A106" t="str">
        <f t="shared" si="7"/>
        <v>202</v>
      </c>
      <c r="B106">
        <v>109</v>
      </c>
      <c r="C106" s="154" t="s">
        <v>1419</v>
      </c>
      <c r="D106" t="s">
        <v>1418</v>
      </c>
      <c r="E106">
        <f t="shared" si="8"/>
        <v>137</v>
      </c>
      <c r="F106">
        <f t="shared" si="9"/>
        <v>32</v>
      </c>
      <c r="G106">
        <f t="shared" si="10"/>
        <v>52</v>
      </c>
    </row>
    <row r="107" spans="1:7" x14ac:dyDescent="0.15">
      <c r="A107" t="str">
        <f t="shared" si="7"/>
        <v>203</v>
      </c>
      <c r="B107">
        <v>111</v>
      </c>
      <c r="C107" s="155" t="s">
        <v>1421</v>
      </c>
      <c r="D107" t="s">
        <v>1420</v>
      </c>
      <c r="E107">
        <f t="shared" si="8"/>
        <v>235</v>
      </c>
      <c r="F107">
        <f t="shared" si="9"/>
        <v>173</v>
      </c>
      <c r="G107">
        <f t="shared" si="10"/>
        <v>205</v>
      </c>
    </row>
    <row r="108" spans="1:7" x14ac:dyDescent="0.15">
      <c r="A108" t="str">
        <f t="shared" si="7"/>
        <v>204</v>
      </c>
      <c r="B108">
        <v>112</v>
      </c>
      <c r="C108" s="156" t="s">
        <v>1423</v>
      </c>
      <c r="D108" t="s">
        <v>1422</v>
      </c>
      <c r="E108">
        <f t="shared" si="8"/>
        <v>232</v>
      </c>
      <c r="F108">
        <f t="shared" si="9"/>
        <v>123</v>
      </c>
      <c r="G108">
        <f t="shared" si="10"/>
        <v>172</v>
      </c>
    </row>
    <row r="109" spans="1:7" x14ac:dyDescent="0.15">
      <c r="A109" t="str">
        <f t="shared" si="7"/>
        <v>205</v>
      </c>
      <c r="B109">
        <v>113</v>
      </c>
      <c r="C109" s="157" t="s">
        <v>1425</v>
      </c>
      <c r="D109" t="s">
        <v>1424</v>
      </c>
      <c r="E109">
        <f t="shared" si="8"/>
        <v>227</v>
      </c>
      <c r="F109">
        <f t="shared" si="9"/>
        <v>69</v>
      </c>
      <c r="G109">
        <f t="shared" si="10"/>
        <v>133</v>
      </c>
    </row>
    <row r="110" spans="1:7" x14ac:dyDescent="0.15">
      <c r="A110" t="str">
        <f t="shared" si="7"/>
        <v>206</v>
      </c>
      <c r="B110">
        <v>114</v>
      </c>
      <c r="C110" s="158" t="s">
        <v>1427</v>
      </c>
      <c r="D110" t="s">
        <v>1426</v>
      </c>
      <c r="E110">
        <f t="shared" si="8"/>
        <v>215</v>
      </c>
      <c r="F110">
        <f t="shared" si="9"/>
        <v>0</v>
      </c>
      <c r="G110">
        <f t="shared" si="10"/>
        <v>77</v>
      </c>
    </row>
    <row r="111" spans="1:7" x14ac:dyDescent="0.15">
      <c r="A111" t="str">
        <f t="shared" si="7"/>
        <v>207</v>
      </c>
      <c r="B111">
        <v>115</v>
      </c>
      <c r="C111" s="159" t="s">
        <v>1429</v>
      </c>
      <c r="D111" t="s">
        <v>1428</v>
      </c>
      <c r="E111">
        <f t="shared" si="8"/>
        <v>177</v>
      </c>
      <c r="F111">
        <f t="shared" si="9"/>
        <v>0</v>
      </c>
      <c r="G111">
        <f t="shared" si="10"/>
        <v>66</v>
      </c>
    </row>
    <row r="112" spans="1:7" x14ac:dyDescent="0.15">
      <c r="A112" t="str">
        <f t="shared" si="7"/>
        <v>208</v>
      </c>
      <c r="B112">
        <v>116</v>
      </c>
      <c r="C112" s="160" t="s">
        <v>1431</v>
      </c>
      <c r="D112" t="s">
        <v>1430</v>
      </c>
      <c r="E112">
        <f t="shared" si="8"/>
        <v>144</v>
      </c>
      <c r="F112">
        <f t="shared" si="9"/>
        <v>33</v>
      </c>
      <c r="G112">
        <f t="shared" si="10"/>
        <v>71</v>
      </c>
    </row>
    <row r="113" spans="1:7" x14ac:dyDescent="0.15">
      <c r="A113" t="str">
        <f t="shared" si="7"/>
        <v>209</v>
      </c>
      <c r="B113">
        <v>117</v>
      </c>
      <c r="C113" s="161" t="s">
        <v>1433</v>
      </c>
      <c r="D113" t="s">
        <v>1432</v>
      </c>
      <c r="E113">
        <f t="shared" si="8"/>
        <v>117</v>
      </c>
      <c r="F113">
        <f t="shared" si="9"/>
        <v>38</v>
      </c>
      <c r="G113">
        <f t="shared" si="10"/>
        <v>65</v>
      </c>
    </row>
    <row r="114" spans="1:7" x14ac:dyDescent="0.15">
      <c r="A114" t="str">
        <f t="shared" si="7"/>
        <v>210</v>
      </c>
      <c r="B114">
        <v>118</v>
      </c>
      <c r="C114" s="162" t="s">
        <v>1435</v>
      </c>
      <c r="D114" t="s">
        <v>1434</v>
      </c>
      <c r="E114">
        <f t="shared" si="8"/>
        <v>250</v>
      </c>
      <c r="F114">
        <f t="shared" si="9"/>
        <v>159</v>
      </c>
      <c r="G114">
        <f t="shared" si="10"/>
        <v>204</v>
      </c>
    </row>
    <row r="115" spans="1:7" x14ac:dyDescent="0.15">
      <c r="A115" t="str">
        <f t="shared" si="7"/>
        <v>211</v>
      </c>
      <c r="B115">
        <v>119</v>
      </c>
      <c r="C115" s="163" t="s">
        <v>1437</v>
      </c>
      <c r="D115" t="s">
        <v>1436</v>
      </c>
      <c r="E115">
        <f t="shared" si="8"/>
        <v>249</v>
      </c>
      <c r="F115">
        <f t="shared" si="9"/>
        <v>125</v>
      </c>
      <c r="G115">
        <f t="shared" si="10"/>
        <v>184</v>
      </c>
    </row>
    <row r="116" spans="1:7" x14ac:dyDescent="0.15">
      <c r="A116" t="str">
        <f t="shared" si="7"/>
        <v>212</v>
      </c>
      <c r="B116">
        <v>120</v>
      </c>
      <c r="C116" s="164" t="s">
        <v>1439</v>
      </c>
      <c r="D116" t="s">
        <v>1438</v>
      </c>
      <c r="E116">
        <f t="shared" si="8"/>
        <v>243</v>
      </c>
      <c r="F116">
        <f t="shared" si="9"/>
        <v>78</v>
      </c>
      <c r="G116">
        <f t="shared" si="10"/>
        <v>154</v>
      </c>
    </row>
    <row r="117" spans="1:7" x14ac:dyDescent="0.15">
      <c r="A117" t="str">
        <f t="shared" si="7"/>
        <v>213</v>
      </c>
      <c r="B117">
        <v>121</v>
      </c>
      <c r="C117" s="165" t="s">
        <v>1441</v>
      </c>
      <c r="D117" t="s">
        <v>1440</v>
      </c>
      <c r="E117">
        <f t="shared" si="8"/>
        <v>230</v>
      </c>
      <c r="F117">
        <f t="shared" si="9"/>
        <v>21</v>
      </c>
      <c r="G117">
        <f t="shared" si="10"/>
        <v>119</v>
      </c>
    </row>
    <row r="118" spans="1:7" x14ac:dyDescent="0.15">
      <c r="A118" t="str">
        <f t="shared" si="7"/>
        <v>214</v>
      </c>
      <c r="B118">
        <v>122</v>
      </c>
      <c r="C118" s="166" t="s">
        <v>1443</v>
      </c>
      <c r="D118" t="s">
        <v>1442</v>
      </c>
      <c r="E118">
        <f t="shared" si="8"/>
        <v>208</v>
      </c>
      <c r="F118">
        <f t="shared" si="9"/>
        <v>0</v>
      </c>
      <c r="G118">
        <f t="shared" si="10"/>
        <v>99</v>
      </c>
    </row>
    <row r="119" spans="1:7" x14ac:dyDescent="0.15">
      <c r="A119" t="str">
        <f t="shared" si="7"/>
        <v>215</v>
      </c>
      <c r="B119">
        <v>123</v>
      </c>
      <c r="C119" s="167" t="s">
        <v>1445</v>
      </c>
      <c r="D119" t="s">
        <v>1444</v>
      </c>
      <c r="E119">
        <f t="shared" si="8"/>
        <v>170</v>
      </c>
      <c r="F119">
        <f t="shared" si="9"/>
        <v>16</v>
      </c>
      <c r="G119">
        <f t="shared" si="10"/>
        <v>84</v>
      </c>
    </row>
    <row r="120" spans="1:7" x14ac:dyDescent="0.15">
      <c r="A120" t="str">
        <f t="shared" si="7"/>
        <v>216</v>
      </c>
      <c r="B120">
        <v>124</v>
      </c>
      <c r="C120" s="168" t="s">
        <v>1447</v>
      </c>
      <c r="D120" t="s">
        <v>1446</v>
      </c>
      <c r="E120">
        <f t="shared" si="8"/>
        <v>122</v>
      </c>
      <c r="F120">
        <f t="shared" si="9"/>
        <v>29</v>
      </c>
      <c r="G120">
        <f t="shared" si="10"/>
        <v>66</v>
      </c>
    </row>
    <row r="121" spans="1:7" x14ac:dyDescent="0.15">
      <c r="A121" t="str">
        <f t="shared" si="7"/>
        <v>217</v>
      </c>
      <c r="B121">
        <v>125</v>
      </c>
      <c r="C121" s="169" t="s">
        <v>1449</v>
      </c>
      <c r="D121" t="s">
        <v>1448</v>
      </c>
      <c r="E121">
        <f t="shared" si="8"/>
        <v>236</v>
      </c>
      <c r="F121">
        <f t="shared" si="9"/>
        <v>187</v>
      </c>
      <c r="G121">
        <f t="shared" si="10"/>
        <v>221</v>
      </c>
    </row>
    <row r="122" spans="1:7" x14ac:dyDescent="0.15">
      <c r="A122" t="str">
        <f t="shared" si="7"/>
        <v>218</v>
      </c>
      <c r="B122">
        <v>126</v>
      </c>
      <c r="C122" s="170" t="s">
        <v>1451</v>
      </c>
      <c r="D122" t="s">
        <v>1450</v>
      </c>
      <c r="E122">
        <f t="shared" si="8"/>
        <v>232</v>
      </c>
      <c r="F122">
        <f t="shared" si="9"/>
        <v>111</v>
      </c>
      <c r="G122">
        <f t="shared" si="10"/>
        <v>184</v>
      </c>
    </row>
    <row r="123" spans="1:7" x14ac:dyDescent="0.15">
      <c r="A123" t="str">
        <f t="shared" si="7"/>
        <v>219</v>
      </c>
      <c r="B123">
        <v>127</v>
      </c>
      <c r="C123" s="171" t="s">
        <v>1453</v>
      </c>
      <c r="D123" t="s">
        <v>1452</v>
      </c>
      <c r="E123">
        <f t="shared" si="8"/>
        <v>224</v>
      </c>
      <c r="F123">
        <f t="shared" si="9"/>
        <v>33</v>
      </c>
      <c r="G123">
        <f t="shared" si="10"/>
        <v>138</v>
      </c>
    </row>
    <row r="124" spans="1:7" x14ac:dyDescent="0.15">
      <c r="A124" t="str">
        <f t="shared" si="7"/>
        <v xml:space="preserve">Rubine Red </v>
      </c>
      <c r="B124">
        <v>128</v>
      </c>
      <c r="C124" s="172" t="s">
        <v>1455</v>
      </c>
      <c r="D124" t="s">
        <v>1454</v>
      </c>
      <c r="E124">
        <f t="shared" si="8"/>
        <v>209</v>
      </c>
      <c r="F124">
        <f t="shared" si="9"/>
        <v>0</v>
      </c>
      <c r="G124">
        <f t="shared" si="10"/>
        <v>86</v>
      </c>
    </row>
    <row r="125" spans="1:7" x14ac:dyDescent="0.15">
      <c r="A125" t="str">
        <f t="shared" si="7"/>
        <v>220</v>
      </c>
      <c r="B125">
        <v>129</v>
      </c>
      <c r="C125" s="173" t="s">
        <v>1457</v>
      </c>
      <c r="D125" t="s">
        <v>1456</v>
      </c>
      <c r="E125">
        <f t="shared" si="8"/>
        <v>174</v>
      </c>
      <c r="F125">
        <f t="shared" si="9"/>
        <v>0</v>
      </c>
      <c r="G125">
        <f t="shared" si="10"/>
        <v>85</v>
      </c>
    </row>
    <row r="126" spans="1:7" x14ac:dyDescent="0.15">
      <c r="A126" t="str">
        <f t="shared" si="7"/>
        <v>221</v>
      </c>
      <c r="B126">
        <v>130</v>
      </c>
      <c r="C126" s="174" t="s">
        <v>1459</v>
      </c>
      <c r="D126" t="s">
        <v>1458</v>
      </c>
      <c r="E126">
        <f t="shared" si="8"/>
        <v>150</v>
      </c>
      <c r="F126">
        <f t="shared" si="9"/>
        <v>0</v>
      </c>
      <c r="G126">
        <f t="shared" si="10"/>
        <v>75</v>
      </c>
    </row>
    <row r="127" spans="1:7" x14ac:dyDescent="0.15">
      <c r="A127" t="str">
        <f t="shared" si="7"/>
        <v>222</v>
      </c>
      <c r="B127">
        <v>131</v>
      </c>
      <c r="C127" s="175" t="s">
        <v>1461</v>
      </c>
      <c r="D127" t="s">
        <v>1460</v>
      </c>
      <c r="E127">
        <f t="shared" si="8"/>
        <v>106</v>
      </c>
      <c r="F127">
        <f t="shared" si="9"/>
        <v>26</v>
      </c>
      <c r="G127">
        <f t="shared" si="10"/>
        <v>65</v>
      </c>
    </row>
    <row r="128" spans="1:7" x14ac:dyDescent="0.15">
      <c r="A128" t="str">
        <f t="shared" si="7"/>
        <v>223</v>
      </c>
      <c r="B128">
        <v>132</v>
      </c>
      <c r="C128" s="176" t="s">
        <v>1463</v>
      </c>
      <c r="D128" t="s">
        <v>1462</v>
      </c>
      <c r="E128">
        <f t="shared" si="8"/>
        <v>242</v>
      </c>
      <c r="F128">
        <f t="shared" si="9"/>
        <v>147</v>
      </c>
      <c r="G128">
        <f t="shared" si="10"/>
        <v>209</v>
      </c>
    </row>
    <row r="129" spans="1:7" x14ac:dyDescent="0.15">
      <c r="A129" t="str">
        <f t="shared" si="7"/>
        <v>224</v>
      </c>
      <c r="B129">
        <v>133</v>
      </c>
      <c r="C129" s="177" t="s">
        <v>1465</v>
      </c>
      <c r="D129" t="s">
        <v>1464</v>
      </c>
      <c r="E129">
        <f t="shared" si="8"/>
        <v>239</v>
      </c>
      <c r="F129">
        <f t="shared" si="9"/>
        <v>106</v>
      </c>
      <c r="G129">
        <f t="shared" si="10"/>
        <v>191</v>
      </c>
    </row>
    <row r="130" spans="1:7" x14ac:dyDescent="0.15">
      <c r="A130" t="str">
        <f t="shared" si="7"/>
        <v>225</v>
      </c>
      <c r="B130">
        <v>134</v>
      </c>
      <c r="C130" s="178" t="s">
        <v>1467</v>
      </c>
      <c r="D130" t="s">
        <v>1466</v>
      </c>
      <c r="E130">
        <f t="shared" si="8"/>
        <v>229</v>
      </c>
      <c r="F130">
        <f t="shared" si="9"/>
        <v>35</v>
      </c>
      <c r="G130">
        <f t="shared" si="10"/>
        <v>157</v>
      </c>
    </row>
    <row r="131" spans="1:7" x14ac:dyDescent="0.15">
      <c r="A131" t="str">
        <f t="shared" ref="A131:A194" si="11">LEFT(D131,LEN(D131)-1)</f>
        <v>226</v>
      </c>
      <c r="B131">
        <v>135</v>
      </c>
      <c r="C131" s="179" t="s">
        <v>1469</v>
      </c>
      <c r="D131" t="s">
        <v>1468</v>
      </c>
      <c r="E131">
        <f t="shared" si="8"/>
        <v>214</v>
      </c>
      <c r="F131">
        <f t="shared" si="9"/>
        <v>0</v>
      </c>
      <c r="G131">
        <f t="shared" si="10"/>
        <v>119</v>
      </c>
    </row>
    <row r="132" spans="1:7" x14ac:dyDescent="0.15">
      <c r="A132" t="str">
        <f t="shared" si="11"/>
        <v>227</v>
      </c>
      <c r="B132">
        <v>136</v>
      </c>
      <c r="C132" s="180" t="s">
        <v>1471</v>
      </c>
      <c r="D132" t="s">
        <v>1470</v>
      </c>
      <c r="E132">
        <f t="shared" si="8"/>
        <v>174</v>
      </c>
      <c r="F132">
        <f t="shared" si="9"/>
        <v>0</v>
      </c>
      <c r="G132">
        <f t="shared" si="10"/>
        <v>95</v>
      </c>
    </row>
    <row r="133" spans="1:7" x14ac:dyDescent="0.15">
      <c r="A133" t="str">
        <f t="shared" si="11"/>
        <v>228</v>
      </c>
      <c r="B133">
        <v>137</v>
      </c>
      <c r="C133" s="181" t="s">
        <v>1473</v>
      </c>
      <c r="D133" t="s">
        <v>1472</v>
      </c>
      <c r="E133">
        <f t="shared" si="8"/>
        <v>138</v>
      </c>
      <c r="F133">
        <f t="shared" si="9"/>
        <v>7</v>
      </c>
      <c r="G133">
        <f t="shared" si="10"/>
        <v>83</v>
      </c>
    </row>
    <row r="134" spans="1:7" x14ac:dyDescent="0.15">
      <c r="A134" t="str">
        <f t="shared" si="11"/>
        <v>229</v>
      </c>
      <c r="B134">
        <v>138</v>
      </c>
      <c r="C134" s="182" t="s">
        <v>1475</v>
      </c>
      <c r="D134" t="s">
        <v>1474</v>
      </c>
      <c r="E134">
        <f t="shared" ref="E134:E197" si="12">HEX2DEC(MID(C134,2,2))</f>
        <v>106</v>
      </c>
      <c r="F134">
        <f t="shared" ref="F134:F197" si="13">HEX2DEC(MID(C134,4,2))</f>
        <v>29</v>
      </c>
      <c r="G134">
        <f t="shared" ref="G134:G197" si="14">HEX2DEC(MID(C134,6,2))</f>
        <v>68</v>
      </c>
    </row>
    <row r="135" spans="1:7" x14ac:dyDescent="0.15">
      <c r="A135" t="str">
        <f t="shared" si="11"/>
        <v>230</v>
      </c>
      <c r="B135">
        <v>139</v>
      </c>
      <c r="C135" s="183" t="s">
        <v>1477</v>
      </c>
      <c r="D135" t="s">
        <v>1476</v>
      </c>
      <c r="E135">
        <f t="shared" si="12"/>
        <v>247</v>
      </c>
      <c r="F135">
        <f t="shared" si="13"/>
        <v>167</v>
      </c>
      <c r="G135">
        <f t="shared" si="14"/>
        <v>219</v>
      </c>
    </row>
    <row r="136" spans="1:7" x14ac:dyDescent="0.15">
      <c r="A136" t="str">
        <f t="shared" si="11"/>
        <v>231</v>
      </c>
      <c r="B136">
        <v>140</v>
      </c>
      <c r="C136" s="184" t="s">
        <v>1479</v>
      </c>
      <c r="D136" t="s">
        <v>1478</v>
      </c>
      <c r="E136">
        <f t="shared" si="12"/>
        <v>245</v>
      </c>
      <c r="F136">
        <f t="shared" si="13"/>
        <v>117</v>
      </c>
      <c r="G136">
        <f t="shared" si="14"/>
        <v>201</v>
      </c>
    </row>
    <row r="137" spans="1:7" x14ac:dyDescent="0.15">
      <c r="A137" t="str">
        <f t="shared" si="11"/>
        <v>232</v>
      </c>
      <c r="B137">
        <v>141</v>
      </c>
      <c r="C137" s="185" t="s">
        <v>1481</v>
      </c>
      <c r="D137" t="s">
        <v>1480</v>
      </c>
      <c r="E137">
        <f t="shared" si="12"/>
        <v>239</v>
      </c>
      <c r="F137">
        <f t="shared" si="13"/>
        <v>64</v>
      </c>
      <c r="G137">
        <f t="shared" si="14"/>
        <v>176</v>
      </c>
    </row>
    <row r="138" spans="1:7" x14ac:dyDescent="0.15">
      <c r="A138" t="str">
        <f t="shared" si="11"/>
        <v xml:space="preserve">Rhodamine Red </v>
      </c>
      <c r="B138">
        <v>142</v>
      </c>
      <c r="C138" s="186" t="s">
        <v>1483</v>
      </c>
      <c r="D138" t="s">
        <v>1482</v>
      </c>
      <c r="E138">
        <f t="shared" si="12"/>
        <v>237</v>
      </c>
      <c r="F138">
        <f t="shared" si="13"/>
        <v>0</v>
      </c>
      <c r="G138">
        <f t="shared" si="14"/>
        <v>145</v>
      </c>
    </row>
    <row r="139" spans="1:7" x14ac:dyDescent="0.15">
      <c r="A139" t="str">
        <f t="shared" si="11"/>
        <v>233</v>
      </c>
      <c r="B139">
        <v>143</v>
      </c>
      <c r="C139" s="187" t="s">
        <v>1485</v>
      </c>
      <c r="D139" t="s">
        <v>1484</v>
      </c>
      <c r="E139">
        <f t="shared" si="12"/>
        <v>201</v>
      </c>
      <c r="F139">
        <f t="shared" si="13"/>
        <v>0</v>
      </c>
      <c r="G139">
        <f t="shared" si="14"/>
        <v>129</v>
      </c>
    </row>
    <row r="140" spans="1:7" x14ac:dyDescent="0.15">
      <c r="A140" t="str">
        <f t="shared" si="11"/>
        <v>234</v>
      </c>
      <c r="B140">
        <v>144</v>
      </c>
      <c r="C140" s="188" t="s">
        <v>1487</v>
      </c>
      <c r="D140" t="s">
        <v>1486</v>
      </c>
      <c r="E140">
        <f t="shared" si="12"/>
        <v>166</v>
      </c>
      <c r="F140">
        <f t="shared" si="13"/>
        <v>0</v>
      </c>
      <c r="G140">
        <f t="shared" si="14"/>
        <v>107</v>
      </c>
    </row>
    <row r="141" spans="1:7" x14ac:dyDescent="0.15">
      <c r="A141" t="str">
        <f t="shared" si="11"/>
        <v>235</v>
      </c>
      <c r="B141">
        <v>145</v>
      </c>
      <c r="C141" s="189" t="s">
        <v>1489</v>
      </c>
      <c r="D141" t="s">
        <v>1488</v>
      </c>
      <c r="E141">
        <f t="shared" si="12"/>
        <v>137</v>
      </c>
      <c r="F141">
        <f t="shared" si="13"/>
        <v>8</v>
      </c>
      <c r="G141">
        <f t="shared" si="14"/>
        <v>87</v>
      </c>
    </row>
    <row r="142" spans="1:7" x14ac:dyDescent="0.15">
      <c r="A142" t="str">
        <f t="shared" si="11"/>
        <v>236</v>
      </c>
      <c r="B142">
        <v>146</v>
      </c>
      <c r="C142" s="190" t="s">
        <v>1491</v>
      </c>
      <c r="D142" t="s">
        <v>1490</v>
      </c>
      <c r="E142">
        <f t="shared" si="12"/>
        <v>242</v>
      </c>
      <c r="F142">
        <f t="shared" si="13"/>
        <v>176</v>
      </c>
      <c r="G142">
        <f t="shared" si="14"/>
        <v>223</v>
      </c>
    </row>
    <row r="143" spans="1:7" x14ac:dyDescent="0.15">
      <c r="A143" t="str">
        <f t="shared" si="11"/>
        <v>237</v>
      </c>
      <c r="B143">
        <v>147</v>
      </c>
      <c r="C143" s="191" t="s">
        <v>1493</v>
      </c>
      <c r="D143" t="s">
        <v>1492</v>
      </c>
      <c r="E143">
        <f t="shared" si="12"/>
        <v>238</v>
      </c>
      <c r="F143">
        <f t="shared" si="13"/>
        <v>134</v>
      </c>
      <c r="G143">
        <f t="shared" si="14"/>
        <v>211</v>
      </c>
    </row>
    <row r="144" spans="1:7" x14ac:dyDescent="0.15">
      <c r="A144" t="str">
        <f t="shared" si="11"/>
        <v>238</v>
      </c>
      <c r="B144">
        <v>148</v>
      </c>
      <c r="C144" s="192" t="s">
        <v>1495</v>
      </c>
      <c r="D144" t="s">
        <v>1494</v>
      </c>
      <c r="E144">
        <f t="shared" si="12"/>
        <v>230</v>
      </c>
      <c r="F144">
        <f t="shared" si="13"/>
        <v>83</v>
      </c>
      <c r="G144">
        <f t="shared" si="14"/>
        <v>188</v>
      </c>
    </row>
    <row r="145" spans="1:7" x14ac:dyDescent="0.15">
      <c r="A145" t="str">
        <f t="shared" si="11"/>
        <v>239</v>
      </c>
      <c r="B145">
        <v>149</v>
      </c>
      <c r="C145" s="193" t="s">
        <v>1497</v>
      </c>
      <c r="D145" t="s">
        <v>1496</v>
      </c>
      <c r="E145">
        <f t="shared" si="12"/>
        <v>224</v>
      </c>
      <c r="F145">
        <f t="shared" si="13"/>
        <v>50</v>
      </c>
      <c r="G145">
        <f t="shared" si="14"/>
        <v>175</v>
      </c>
    </row>
    <row r="146" spans="1:7" x14ac:dyDescent="0.15">
      <c r="A146" t="str">
        <f t="shared" si="11"/>
        <v>240</v>
      </c>
      <c r="B146">
        <v>150</v>
      </c>
      <c r="C146" s="194" t="s">
        <v>1499</v>
      </c>
      <c r="D146" t="s">
        <v>1498</v>
      </c>
      <c r="E146">
        <f t="shared" si="12"/>
        <v>196</v>
      </c>
      <c r="F146">
        <f t="shared" si="13"/>
        <v>30</v>
      </c>
      <c r="G146">
        <f t="shared" si="14"/>
        <v>153</v>
      </c>
    </row>
    <row r="147" spans="1:7" x14ac:dyDescent="0.15">
      <c r="A147" t="str">
        <f t="shared" si="11"/>
        <v>241</v>
      </c>
      <c r="B147">
        <v>151</v>
      </c>
      <c r="C147" s="195" t="s">
        <v>1501</v>
      </c>
      <c r="D147" t="s">
        <v>1500</v>
      </c>
      <c r="E147">
        <f t="shared" si="12"/>
        <v>172</v>
      </c>
      <c r="F147">
        <f t="shared" si="13"/>
        <v>4</v>
      </c>
      <c r="G147">
        <f t="shared" si="14"/>
        <v>129</v>
      </c>
    </row>
    <row r="148" spans="1:7" x14ac:dyDescent="0.15">
      <c r="A148" t="str">
        <f t="shared" si="11"/>
        <v>242</v>
      </c>
      <c r="B148">
        <v>152</v>
      </c>
      <c r="C148" s="196" t="s">
        <v>1503</v>
      </c>
      <c r="D148" t="s">
        <v>1502</v>
      </c>
      <c r="E148">
        <f t="shared" si="12"/>
        <v>122</v>
      </c>
      <c r="F148">
        <f t="shared" si="13"/>
        <v>26</v>
      </c>
      <c r="G148">
        <f t="shared" si="14"/>
        <v>87</v>
      </c>
    </row>
    <row r="149" spans="1:7" x14ac:dyDescent="0.15">
      <c r="A149" t="str">
        <f t="shared" si="11"/>
        <v>243</v>
      </c>
      <c r="B149">
        <v>154</v>
      </c>
      <c r="C149" s="197" t="s">
        <v>1505</v>
      </c>
      <c r="D149" t="s">
        <v>1504</v>
      </c>
      <c r="E149">
        <f t="shared" si="12"/>
        <v>232</v>
      </c>
      <c r="F149">
        <f t="shared" si="13"/>
        <v>183</v>
      </c>
      <c r="G149">
        <f t="shared" si="14"/>
        <v>229</v>
      </c>
    </row>
    <row r="150" spans="1:7" x14ac:dyDescent="0.15">
      <c r="A150" t="str">
        <f t="shared" si="11"/>
        <v>244</v>
      </c>
      <c r="B150">
        <v>155</v>
      </c>
      <c r="C150" s="198" t="s">
        <v>1507</v>
      </c>
      <c r="D150" t="s">
        <v>1506</v>
      </c>
      <c r="E150">
        <f t="shared" si="12"/>
        <v>230</v>
      </c>
      <c r="F150">
        <f t="shared" si="13"/>
        <v>162</v>
      </c>
      <c r="G150">
        <f t="shared" si="14"/>
        <v>224</v>
      </c>
    </row>
    <row r="151" spans="1:7" x14ac:dyDescent="0.15">
      <c r="A151" t="str">
        <f t="shared" si="11"/>
        <v>245</v>
      </c>
      <c r="B151">
        <v>156</v>
      </c>
      <c r="C151" s="199" t="s">
        <v>1509</v>
      </c>
      <c r="D151" t="s">
        <v>1508</v>
      </c>
      <c r="E151">
        <f t="shared" si="12"/>
        <v>223</v>
      </c>
      <c r="F151">
        <f t="shared" si="13"/>
        <v>129</v>
      </c>
      <c r="G151">
        <f t="shared" si="14"/>
        <v>214</v>
      </c>
    </row>
    <row r="152" spans="1:7" x14ac:dyDescent="0.15">
      <c r="A152" t="str">
        <f t="shared" si="11"/>
        <v>246</v>
      </c>
      <c r="B152">
        <v>157</v>
      </c>
      <c r="C152" s="200" t="s">
        <v>1511</v>
      </c>
      <c r="D152" t="s">
        <v>1510</v>
      </c>
      <c r="E152">
        <f t="shared" si="12"/>
        <v>199</v>
      </c>
      <c r="F152">
        <f t="shared" si="13"/>
        <v>11</v>
      </c>
      <c r="G152">
        <f t="shared" si="14"/>
        <v>172</v>
      </c>
    </row>
    <row r="153" spans="1:7" x14ac:dyDescent="0.15">
      <c r="A153" t="str">
        <f t="shared" si="11"/>
        <v>247</v>
      </c>
      <c r="B153">
        <v>158</v>
      </c>
      <c r="C153" s="201" t="s">
        <v>1513</v>
      </c>
      <c r="D153" t="s">
        <v>1512</v>
      </c>
      <c r="E153">
        <f t="shared" si="12"/>
        <v>179</v>
      </c>
      <c r="F153">
        <f t="shared" si="13"/>
        <v>0</v>
      </c>
      <c r="G153">
        <f t="shared" si="14"/>
        <v>157</v>
      </c>
    </row>
    <row r="154" spans="1:7" x14ac:dyDescent="0.15">
      <c r="A154" t="str">
        <f t="shared" si="11"/>
        <v>248</v>
      </c>
      <c r="B154">
        <v>159</v>
      </c>
      <c r="C154" s="202" t="s">
        <v>1515</v>
      </c>
      <c r="D154" t="s">
        <v>1514</v>
      </c>
      <c r="E154">
        <f t="shared" si="12"/>
        <v>158</v>
      </c>
      <c r="F154">
        <f t="shared" si="13"/>
        <v>3</v>
      </c>
      <c r="G154">
        <f t="shared" si="14"/>
        <v>137</v>
      </c>
    </row>
    <row r="155" spans="1:7" x14ac:dyDescent="0.15">
      <c r="A155" t="str">
        <f t="shared" si="11"/>
        <v>249</v>
      </c>
      <c r="B155">
        <v>160</v>
      </c>
      <c r="C155" s="203" t="s">
        <v>1517</v>
      </c>
      <c r="D155" t="s">
        <v>1516</v>
      </c>
      <c r="E155">
        <f t="shared" si="12"/>
        <v>123</v>
      </c>
      <c r="F155">
        <f t="shared" si="13"/>
        <v>34</v>
      </c>
      <c r="G155">
        <f t="shared" si="14"/>
        <v>102</v>
      </c>
    </row>
    <row r="156" spans="1:7" x14ac:dyDescent="0.15">
      <c r="A156" t="str">
        <f t="shared" si="11"/>
        <v>250</v>
      </c>
      <c r="B156">
        <v>161</v>
      </c>
      <c r="C156" s="204" t="s">
        <v>1519</v>
      </c>
      <c r="D156" t="s">
        <v>1518</v>
      </c>
      <c r="E156">
        <f t="shared" si="12"/>
        <v>227</v>
      </c>
      <c r="F156">
        <f t="shared" si="13"/>
        <v>192</v>
      </c>
      <c r="G156">
        <f t="shared" si="14"/>
        <v>230</v>
      </c>
    </row>
    <row r="157" spans="1:7" x14ac:dyDescent="0.15">
      <c r="A157" t="str">
        <f t="shared" si="11"/>
        <v>251</v>
      </c>
      <c r="B157">
        <v>162</v>
      </c>
      <c r="C157" s="205" t="s">
        <v>1521</v>
      </c>
      <c r="D157" t="s">
        <v>1520</v>
      </c>
      <c r="E157">
        <f t="shared" si="12"/>
        <v>217</v>
      </c>
      <c r="F157">
        <f t="shared" si="13"/>
        <v>156</v>
      </c>
      <c r="G157">
        <f t="shared" si="14"/>
        <v>225</v>
      </c>
    </row>
    <row r="158" spans="1:7" x14ac:dyDescent="0.15">
      <c r="A158" t="str">
        <f t="shared" si="11"/>
        <v>252</v>
      </c>
      <c r="B158">
        <v>163</v>
      </c>
      <c r="C158" s="206" t="s">
        <v>1523</v>
      </c>
      <c r="D158" t="s">
        <v>1522</v>
      </c>
      <c r="E158">
        <f t="shared" si="12"/>
        <v>202</v>
      </c>
      <c r="F158">
        <f t="shared" si="13"/>
        <v>101</v>
      </c>
      <c r="G158">
        <f t="shared" si="14"/>
        <v>209</v>
      </c>
    </row>
    <row r="159" spans="1:7" x14ac:dyDescent="0.15">
      <c r="A159" t="str">
        <f t="shared" si="11"/>
        <v xml:space="preserve">Purple </v>
      </c>
      <c r="B159">
        <v>164</v>
      </c>
      <c r="C159" s="207" t="s">
        <v>1525</v>
      </c>
      <c r="D159" t="s">
        <v>1524</v>
      </c>
      <c r="E159">
        <f t="shared" si="12"/>
        <v>191</v>
      </c>
      <c r="F159">
        <f t="shared" si="13"/>
        <v>48</v>
      </c>
      <c r="G159">
        <f t="shared" si="14"/>
        <v>181</v>
      </c>
    </row>
    <row r="160" spans="1:7" x14ac:dyDescent="0.15">
      <c r="A160" t="str">
        <f t="shared" si="11"/>
        <v>253</v>
      </c>
      <c r="B160">
        <v>165</v>
      </c>
      <c r="C160" s="208" t="s">
        <v>1527</v>
      </c>
      <c r="D160" t="s">
        <v>1526</v>
      </c>
      <c r="E160">
        <f t="shared" si="12"/>
        <v>169</v>
      </c>
      <c r="F160">
        <f t="shared" si="13"/>
        <v>27</v>
      </c>
      <c r="G160">
        <f t="shared" si="14"/>
        <v>176</v>
      </c>
    </row>
    <row r="161" spans="1:7" x14ac:dyDescent="0.15">
      <c r="A161" t="str">
        <f t="shared" si="11"/>
        <v>254</v>
      </c>
      <c r="B161">
        <v>166</v>
      </c>
      <c r="C161" s="209" t="s">
        <v>1529</v>
      </c>
      <c r="D161" t="s">
        <v>1528</v>
      </c>
      <c r="E161">
        <f t="shared" si="12"/>
        <v>150</v>
      </c>
      <c r="F161">
        <f t="shared" si="13"/>
        <v>35</v>
      </c>
      <c r="G161">
        <f t="shared" si="14"/>
        <v>153</v>
      </c>
    </row>
    <row r="162" spans="1:7" x14ac:dyDescent="0.15">
      <c r="A162" t="str">
        <f t="shared" si="11"/>
        <v>255</v>
      </c>
      <c r="B162">
        <v>167</v>
      </c>
      <c r="C162" s="210" t="s">
        <v>1531</v>
      </c>
      <c r="D162" t="s">
        <v>1530</v>
      </c>
      <c r="E162">
        <f t="shared" si="12"/>
        <v>112</v>
      </c>
      <c r="F162">
        <f t="shared" si="13"/>
        <v>38</v>
      </c>
      <c r="G162">
        <f t="shared" si="14"/>
        <v>108</v>
      </c>
    </row>
    <row r="163" spans="1:7" x14ac:dyDescent="0.15">
      <c r="A163" t="str">
        <f t="shared" si="11"/>
        <v>256</v>
      </c>
      <c r="B163">
        <v>168</v>
      </c>
      <c r="C163" s="211" t="s">
        <v>1533</v>
      </c>
      <c r="D163" t="s">
        <v>1532</v>
      </c>
      <c r="E163">
        <f t="shared" si="12"/>
        <v>217</v>
      </c>
      <c r="F163">
        <f t="shared" si="13"/>
        <v>191</v>
      </c>
      <c r="G163">
        <f t="shared" si="14"/>
        <v>224</v>
      </c>
    </row>
    <row r="164" spans="1:7" x14ac:dyDescent="0.15">
      <c r="A164" t="str">
        <f t="shared" si="11"/>
        <v>257</v>
      </c>
      <c r="B164">
        <v>169</v>
      </c>
      <c r="C164" s="212" t="s">
        <v>1535</v>
      </c>
      <c r="D164" t="s">
        <v>1534</v>
      </c>
      <c r="E164">
        <f t="shared" si="12"/>
        <v>203</v>
      </c>
      <c r="F164">
        <f t="shared" si="13"/>
        <v>164</v>
      </c>
      <c r="G164">
        <f t="shared" si="14"/>
        <v>212</v>
      </c>
    </row>
    <row r="165" spans="1:7" x14ac:dyDescent="0.15">
      <c r="A165" t="str">
        <f t="shared" si="11"/>
        <v>258</v>
      </c>
      <c r="B165">
        <v>170</v>
      </c>
      <c r="C165" s="213" t="s">
        <v>1537</v>
      </c>
      <c r="D165" t="s">
        <v>1536</v>
      </c>
      <c r="E165">
        <f t="shared" si="12"/>
        <v>146</v>
      </c>
      <c r="F165">
        <f t="shared" si="13"/>
        <v>73</v>
      </c>
      <c r="G165">
        <f t="shared" si="14"/>
        <v>158</v>
      </c>
    </row>
    <row r="166" spans="1:7" x14ac:dyDescent="0.15">
      <c r="A166" t="str">
        <f t="shared" si="11"/>
        <v>259</v>
      </c>
      <c r="B166">
        <v>171</v>
      </c>
      <c r="C166" s="214" t="s">
        <v>1539</v>
      </c>
      <c r="D166" t="s">
        <v>1538</v>
      </c>
      <c r="E166">
        <f t="shared" si="12"/>
        <v>108</v>
      </c>
      <c r="F166">
        <f t="shared" si="13"/>
        <v>27</v>
      </c>
      <c r="G166">
        <f t="shared" si="14"/>
        <v>114</v>
      </c>
    </row>
    <row r="167" spans="1:7" x14ac:dyDescent="0.15">
      <c r="A167" t="str">
        <f t="shared" si="11"/>
        <v>260</v>
      </c>
      <c r="B167">
        <v>172</v>
      </c>
      <c r="C167" s="44" t="s">
        <v>1541</v>
      </c>
      <c r="D167" t="s">
        <v>1540</v>
      </c>
      <c r="E167">
        <f t="shared" si="12"/>
        <v>95</v>
      </c>
      <c r="F167">
        <f t="shared" si="13"/>
        <v>29</v>
      </c>
      <c r="G167">
        <f t="shared" si="14"/>
        <v>95</v>
      </c>
    </row>
    <row r="168" spans="1:7" x14ac:dyDescent="0.15">
      <c r="A168" t="str">
        <f t="shared" si="11"/>
        <v>261</v>
      </c>
      <c r="B168">
        <v>173</v>
      </c>
      <c r="C168" s="215" t="s">
        <v>1543</v>
      </c>
      <c r="D168" t="s">
        <v>1542</v>
      </c>
      <c r="E168">
        <f t="shared" si="12"/>
        <v>89</v>
      </c>
      <c r="F168">
        <f t="shared" si="13"/>
        <v>30</v>
      </c>
      <c r="G168">
        <f t="shared" si="14"/>
        <v>85</v>
      </c>
    </row>
    <row r="169" spans="1:7" x14ac:dyDescent="0.15">
      <c r="A169" t="str">
        <f t="shared" si="11"/>
        <v>262</v>
      </c>
      <c r="B169">
        <v>174</v>
      </c>
      <c r="C169" s="216" t="s">
        <v>1545</v>
      </c>
      <c r="D169" t="s">
        <v>1544</v>
      </c>
      <c r="E169">
        <f t="shared" si="12"/>
        <v>79</v>
      </c>
      <c r="F169">
        <f t="shared" si="13"/>
        <v>34</v>
      </c>
      <c r="G169">
        <f t="shared" si="14"/>
        <v>72</v>
      </c>
    </row>
    <row r="170" spans="1:7" x14ac:dyDescent="0.15">
      <c r="A170" t="str">
        <f t="shared" si="11"/>
        <v>263</v>
      </c>
      <c r="B170">
        <v>176</v>
      </c>
      <c r="C170" s="217" t="s">
        <v>1547</v>
      </c>
      <c r="D170" t="s">
        <v>1546</v>
      </c>
      <c r="E170">
        <f t="shared" si="12"/>
        <v>216</v>
      </c>
      <c r="F170">
        <f t="shared" si="13"/>
        <v>203</v>
      </c>
      <c r="G170">
        <f t="shared" si="14"/>
        <v>235</v>
      </c>
    </row>
    <row r="171" spans="1:7" x14ac:dyDescent="0.15">
      <c r="A171" t="str">
        <f t="shared" si="11"/>
        <v>264</v>
      </c>
      <c r="B171">
        <v>177</v>
      </c>
      <c r="C171" s="218" t="s">
        <v>1549</v>
      </c>
      <c r="D171" t="s">
        <v>1548</v>
      </c>
      <c r="E171">
        <f t="shared" si="12"/>
        <v>188</v>
      </c>
      <c r="F171">
        <f t="shared" si="13"/>
        <v>168</v>
      </c>
      <c r="G171">
        <f t="shared" si="14"/>
        <v>230</v>
      </c>
    </row>
    <row r="172" spans="1:7" x14ac:dyDescent="0.15">
      <c r="A172" t="str">
        <f t="shared" si="11"/>
        <v>265</v>
      </c>
      <c r="B172">
        <v>178</v>
      </c>
      <c r="C172" s="219" t="s">
        <v>1551</v>
      </c>
      <c r="D172" t="s">
        <v>1550</v>
      </c>
      <c r="E172">
        <f t="shared" si="12"/>
        <v>141</v>
      </c>
      <c r="F172">
        <f t="shared" si="13"/>
        <v>101</v>
      </c>
      <c r="G172">
        <f t="shared" si="14"/>
        <v>210</v>
      </c>
    </row>
    <row r="173" spans="1:7" x14ac:dyDescent="0.15">
      <c r="A173" t="str">
        <f t="shared" si="11"/>
        <v>266</v>
      </c>
      <c r="B173">
        <v>179</v>
      </c>
      <c r="C173" s="220" t="s">
        <v>1553</v>
      </c>
      <c r="D173" t="s">
        <v>1552</v>
      </c>
      <c r="E173">
        <f t="shared" si="12"/>
        <v>103</v>
      </c>
      <c r="F173">
        <f t="shared" si="13"/>
        <v>50</v>
      </c>
      <c r="G173">
        <f t="shared" si="14"/>
        <v>186</v>
      </c>
    </row>
    <row r="174" spans="1:7" x14ac:dyDescent="0.15">
      <c r="A174" t="str">
        <f t="shared" si="11"/>
        <v>267</v>
      </c>
      <c r="B174">
        <v>180</v>
      </c>
      <c r="C174" s="221" t="s">
        <v>1555</v>
      </c>
      <c r="D174" t="s">
        <v>1554</v>
      </c>
      <c r="E174">
        <f t="shared" si="12"/>
        <v>79</v>
      </c>
      <c r="F174">
        <f t="shared" si="13"/>
        <v>31</v>
      </c>
      <c r="G174">
        <f t="shared" si="14"/>
        <v>145</v>
      </c>
    </row>
    <row r="175" spans="1:7" x14ac:dyDescent="0.15">
      <c r="A175" t="str">
        <f t="shared" si="11"/>
        <v>268</v>
      </c>
      <c r="B175">
        <v>181</v>
      </c>
      <c r="C175" s="222" t="s">
        <v>1557</v>
      </c>
      <c r="D175" t="s">
        <v>1556</v>
      </c>
      <c r="E175">
        <f t="shared" si="12"/>
        <v>74</v>
      </c>
      <c r="F175">
        <f t="shared" si="13"/>
        <v>33</v>
      </c>
      <c r="G175">
        <f t="shared" si="14"/>
        <v>126</v>
      </c>
    </row>
    <row r="176" spans="1:7" x14ac:dyDescent="0.15">
      <c r="A176" t="str">
        <f t="shared" si="11"/>
        <v>269</v>
      </c>
      <c r="B176">
        <v>182</v>
      </c>
      <c r="C176" s="223" t="s">
        <v>1559</v>
      </c>
      <c r="D176" t="s">
        <v>1558</v>
      </c>
      <c r="E176">
        <f t="shared" si="12"/>
        <v>69</v>
      </c>
      <c r="F176">
        <f t="shared" si="13"/>
        <v>38</v>
      </c>
      <c r="G176">
        <f t="shared" si="14"/>
        <v>99</v>
      </c>
    </row>
    <row r="177" spans="1:7" x14ac:dyDescent="0.15">
      <c r="A177" t="str">
        <f t="shared" si="11"/>
        <v>270</v>
      </c>
      <c r="B177">
        <v>183</v>
      </c>
      <c r="C177" s="224" t="s">
        <v>1561</v>
      </c>
      <c r="D177" t="s">
        <v>1560</v>
      </c>
      <c r="E177">
        <f t="shared" si="12"/>
        <v>173</v>
      </c>
      <c r="F177">
        <f t="shared" si="13"/>
        <v>172</v>
      </c>
      <c r="G177">
        <f t="shared" si="14"/>
        <v>220</v>
      </c>
    </row>
    <row r="178" spans="1:7" x14ac:dyDescent="0.15">
      <c r="A178" t="str">
        <f t="shared" si="11"/>
        <v>271</v>
      </c>
      <c r="B178">
        <v>184</v>
      </c>
      <c r="C178" s="225" t="s">
        <v>1563</v>
      </c>
      <c r="D178" t="s">
        <v>1562</v>
      </c>
      <c r="E178">
        <f t="shared" si="12"/>
        <v>148</v>
      </c>
      <c r="F178">
        <f t="shared" si="13"/>
        <v>144</v>
      </c>
      <c r="G178">
        <f t="shared" si="14"/>
        <v>210</v>
      </c>
    </row>
    <row r="179" spans="1:7" x14ac:dyDescent="0.15">
      <c r="A179" t="str">
        <f t="shared" si="11"/>
        <v>272</v>
      </c>
      <c r="B179">
        <v>185</v>
      </c>
      <c r="C179" s="226" t="s">
        <v>1565</v>
      </c>
      <c r="D179" t="s">
        <v>1564</v>
      </c>
      <c r="E179">
        <f t="shared" si="12"/>
        <v>121</v>
      </c>
      <c r="F179">
        <f t="shared" si="13"/>
        <v>115</v>
      </c>
      <c r="G179">
        <f t="shared" si="14"/>
        <v>194</v>
      </c>
    </row>
    <row r="180" spans="1:7" x14ac:dyDescent="0.15">
      <c r="A180" t="str">
        <f t="shared" si="11"/>
        <v>273</v>
      </c>
      <c r="B180">
        <v>186</v>
      </c>
      <c r="C180" s="227" t="s">
        <v>1567</v>
      </c>
      <c r="D180" t="s">
        <v>1566</v>
      </c>
      <c r="E180">
        <f t="shared" si="12"/>
        <v>37</v>
      </c>
      <c r="F180">
        <f t="shared" si="13"/>
        <v>23</v>
      </c>
      <c r="G180">
        <f t="shared" si="14"/>
        <v>122</v>
      </c>
    </row>
    <row r="181" spans="1:7" x14ac:dyDescent="0.15">
      <c r="A181" t="str">
        <f t="shared" si="11"/>
        <v>274</v>
      </c>
      <c r="B181">
        <v>187</v>
      </c>
      <c r="C181" s="228" t="s">
        <v>1569</v>
      </c>
      <c r="D181" t="s">
        <v>1568</v>
      </c>
      <c r="E181">
        <f t="shared" si="12"/>
        <v>33</v>
      </c>
      <c r="F181">
        <f t="shared" si="13"/>
        <v>18</v>
      </c>
      <c r="G181">
        <f t="shared" si="14"/>
        <v>101</v>
      </c>
    </row>
    <row r="182" spans="1:7" x14ac:dyDescent="0.15">
      <c r="A182" t="str">
        <f t="shared" si="11"/>
        <v>275</v>
      </c>
      <c r="B182">
        <v>188</v>
      </c>
      <c r="C182" s="229" t="s">
        <v>1571</v>
      </c>
      <c r="D182" t="s">
        <v>1570</v>
      </c>
      <c r="E182">
        <f t="shared" si="12"/>
        <v>29</v>
      </c>
      <c r="F182">
        <f t="shared" si="13"/>
        <v>17</v>
      </c>
      <c r="G182">
        <f t="shared" si="14"/>
        <v>87</v>
      </c>
    </row>
    <row r="183" spans="1:7" x14ac:dyDescent="0.15">
      <c r="A183" t="str">
        <f t="shared" si="11"/>
        <v>276</v>
      </c>
      <c r="B183">
        <v>189</v>
      </c>
      <c r="C183" s="230" t="s">
        <v>1573</v>
      </c>
      <c r="D183" t="s">
        <v>1572</v>
      </c>
      <c r="E183">
        <f t="shared" si="12"/>
        <v>36</v>
      </c>
      <c r="F183">
        <f t="shared" si="13"/>
        <v>26</v>
      </c>
      <c r="G183">
        <f t="shared" si="14"/>
        <v>68</v>
      </c>
    </row>
    <row r="184" spans="1:7" x14ac:dyDescent="0.15">
      <c r="A184" t="str">
        <f t="shared" si="11"/>
        <v>277</v>
      </c>
      <c r="B184">
        <v>190</v>
      </c>
      <c r="C184" s="231" t="s">
        <v>1575</v>
      </c>
      <c r="D184" t="s">
        <v>1574</v>
      </c>
      <c r="E184">
        <f t="shared" si="12"/>
        <v>181</v>
      </c>
      <c r="F184">
        <f t="shared" si="13"/>
        <v>209</v>
      </c>
      <c r="G184">
        <f t="shared" si="14"/>
        <v>232</v>
      </c>
    </row>
    <row r="185" spans="1:7" x14ac:dyDescent="0.15">
      <c r="A185" t="str">
        <f t="shared" si="11"/>
        <v>278</v>
      </c>
      <c r="B185">
        <v>191</v>
      </c>
      <c r="C185" s="232" t="s">
        <v>1577</v>
      </c>
      <c r="D185" t="s">
        <v>1576</v>
      </c>
      <c r="E185">
        <f t="shared" si="12"/>
        <v>140</v>
      </c>
      <c r="F185">
        <f t="shared" si="13"/>
        <v>180</v>
      </c>
      <c r="G185">
        <f t="shared" si="14"/>
        <v>232</v>
      </c>
    </row>
    <row r="186" spans="1:7" x14ac:dyDescent="0.15">
      <c r="A186" t="str">
        <f t="shared" si="11"/>
        <v>279</v>
      </c>
      <c r="B186">
        <v>192</v>
      </c>
      <c r="C186" s="233" t="s">
        <v>1579</v>
      </c>
      <c r="D186" t="s">
        <v>1578</v>
      </c>
      <c r="E186">
        <f t="shared" si="12"/>
        <v>65</v>
      </c>
      <c r="F186">
        <f t="shared" si="13"/>
        <v>137</v>
      </c>
      <c r="G186">
        <f t="shared" si="14"/>
        <v>221</v>
      </c>
    </row>
    <row r="187" spans="1:7" x14ac:dyDescent="0.15">
      <c r="A187" t="str">
        <f t="shared" si="11"/>
        <v xml:space="preserve">Reflex Blue </v>
      </c>
      <c r="B187">
        <v>193</v>
      </c>
      <c r="C187" s="234" t="s">
        <v>1581</v>
      </c>
      <c r="D187" t="s">
        <v>1580</v>
      </c>
      <c r="E187">
        <f t="shared" si="12"/>
        <v>12</v>
      </c>
      <c r="F187">
        <f t="shared" si="13"/>
        <v>28</v>
      </c>
      <c r="G187">
        <f t="shared" si="14"/>
        <v>140</v>
      </c>
    </row>
    <row r="188" spans="1:7" x14ac:dyDescent="0.15">
      <c r="A188" t="str">
        <f t="shared" si="11"/>
        <v>280</v>
      </c>
      <c r="B188">
        <v>194</v>
      </c>
      <c r="C188" s="235" t="s">
        <v>1583</v>
      </c>
      <c r="D188" t="s">
        <v>1582</v>
      </c>
      <c r="E188">
        <f t="shared" si="12"/>
        <v>0</v>
      </c>
      <c r="F188">
        <f t="shared" si="13"/>
        <v>38</v>
      </c>
      <c r="G188">
        <f t="shared" si="14"/>
        <v>127</v>
      </c>
    </row>
    <row r="189" spans="1:7" x14ac:dyDescent="0.15">
      <c r="A189" t="str">
        <f t="shared" si="11"/>
        <v>281</v>
      </c>
      <c r="B189">
        <v>195</v>
      </c>
      <c r="C189" s="236" t="s">
        <v>1585</v>
      </c>
      <c r="D189" t="s">
        <v>1584</v>
      </c>
      <c r="E189">
        <f t="shared" si="12"/>
        <v>0</v>
      </c>
      <c r="F189">
        <f t="shared" si="13"/>
        <v>37</v>
      </c>
      <c r="G189">
        <f t="shared" si="14"/>
        <v>105</v>
      </c>
    </row>
    <row r="190" spans="1:7" x14ac:dyDescent="0.15">
      <c r="A190" t="str">
        <f t="shared" si="11"/>
        <v>282</v>
      </c>
      <c r="B190">
        <v>196</v>
      </c>
      <c r="C190" s="237" t="s">
        <v>1587</v>
      </c>
      <c r="D190" t="s">
        <v>1586</v>
      </c>
      <c r="E190">
        <f t="shared" si="12"/>
        <v>0</v>
      </c>
      <c r="F190">
        <f t="shared" si="13"/>
        <v>32</v>
      </c>
      <c r="G190">
        <f t="shared" si="14"/>
        <v>78</v>
      </c>
    </row>
    <row r="191" spans="1:7" x14ac:dyDescent="0.15">
      <c r="A191" t="str">
        <f t="shared" si="11"/>
        <v>283</v>
      </c>
      <c r="B191">
        <v>198</v>
      </c>
      <c r="C191" s="238" t="s">
        <v>1589</v>
      </c>
      <c r="D191" t="s">
        <v>1588</v>
      </c>
      <c r="E191">
        <f t="shared" si="12"/>
        <v>147</v>
      </c>
      <c r="F191">
        <f t="shared" si="13"/>
        <v>191</v>
      </c>
      <c r="G191">
        <f t="shared" si="14"/>
        <v>235</v>
      </c>
    </row>
    <row r="192" spans="1:7" x14ac:dyDescent="0.15">
      <c r="A192" t="str">
        <f t="shared" si="11"/>
        <v>284</v>
      </c>
      <c r="B192">
        <v>199</v>
      </c>
      <c r="C192" s="239" t="s">
        <v>1591</v>
      </c>
      <c r="D192" t="s">
        <v>1590</v>
      </c>
      <c r="E192">
        <f t="shared" si="12"/>
        <v>108</v>
      </c>
      <c r="F192">
        <f t="shared" si="13"/>
        <v>171</v>
      </c>
      <c r="G192">
        <f t="shared" si="14"/>
        <v>231</v>
      </c>
    </row>
    <row r="193" spans="1:7" x14ac:dyDescent="0.15">
      <c r="A193" t="str">
        <f t="shared" si="11"/>
        <v>285</v>
      </c>
      <c r="B193">
        <v>200</v>
      </c>
      <c r="C193" s="240" t="s">
        <v>1593</v>
      </c>
      <c r="D193" t="s">
        <v>1592</v>
      </c>
      <c r="E193">
        <f t="shared" si="12"/>
        <v>0</v>
      </c>
      <c r="F193">
        <f t="shared" si="13"/>
        <v>119</v>
      </c>
      <c r="G193">
        <f t="shared" si="14"/>
        <v>212</v>
      </c>
    </row>
    <row r="194" spans="1:7" x14ac:dyDescent="0.15">
      <c r="A194" t="str">
        <f t="shared" si="11"/>
        <v>286</v>
      </c>
      <c r="B194">
        <v>201</v>
      </c>
      <c r="C194" s="241" t="s">
        <v>1595</v>
      </c>
      <c r="D194" t="s">
        <v>1594</v>
      </c>
      <c r="E194">
        <f t="shared" si="12"/>
        <v>0</v>
      </c>
      <c r="F194">
        <f t="shared" si="13"/>
        <v>53</v>
      </c>
      <c r="G194">
        <f t="shared" si="14"/>
        <v>173</v>
      </c>
    </row>
    <row r="195" spans="1:7" x14ac:dyDescent="0.15">
      <c r="A195" t="str">
        <f t="shared" ref="A195:A258" si="15">LEFT(D195,LEN(D195)-1)</f>
        <v>287</v>
      </c>
      <c r="B195">
        <v>202</v>
      </c>
      <c r="C195" s="242" t="s">
        <v>1597</v>
      </c>
      <c r="D195" t="s">
        <v>1596</v>
      </c>
      <c r="E195">
        <f t="shared" si="12"/>
        <v>0</v>
      </c>
      <c r="F195">
        <f t="shared" si="13"/>
        <v>55</v>
      </c>
      <c r="G195">
        <f t="shared" si="14"/>
        <v>152</v>
      </c>
    </row>
    <row r="196" spans="1:7" x14ac:dyDescent="0.15">
      <c r="A196" t="str">
        <f t="shared" si="15"/>
        <v>288</v>
      </c>
      <c r="B196">
        <v>203</v>
      </c>
      <c r="C196" s="243" t="s">
        <v>1599</v>
      </c>
      <c r="D196" t="s">
        <v>1598</v>
      </c>
      <c r="E196">
        <f t="shared" si="12"/>
        <v>0</v>
      </c>
      <c r="F196">
        <f t="shared" si="13"/>
        <v>48</v>
      </c>
      <c r="G196">
        <f t="shared" si="14"/>
        <v>130</v>
      </c>
    </row>
    <row r="197" spans="1:7" x14ac:dyDescent="0.15">
      <c r="A197" t="str">
        <f t="shared" si="15"/>
        <v>289</v>
      </c>
      <c r="B197">
        <v>204</v>
      </c>
      <c r="C197" s="244" t="s">
        <v>1601</v>
      </c>
      <c r="D197" t="s">
        <v>1600</v>
      </c>
      <c r="E197">
        <f t="shared" si="12"/>
        <v>0</v>
      </c>
      <c r="F197">
        <f t="shared" si="13"/>
        <v>35</v>
      </c>
      <c r="G197">
        <f t="shared" si="14"/>
        <v>76</v>
      </c>
    </row>
    <row r="198" spans="1:7" x14ac:dyDescent="0.15">
      <c r="A198" t="str">
        <f t="shared" si="15"/>
        <v>290</v>
      </c>
      <c r="B198">
        <v>205</v>
      </c>
      <c r="C198" s="245" t="s">
        <v>1603</v>
      </c>
      <c r="D198" t="s">
        <v>1602</v>
      </c>
      <c r="E198">
        <f t="shared" ref="E198:E261" si="16">HEX2DEC(MID(C198,2,2))</f>
        <v>190</v>
      </c>
      <c r="F198">
        <f t="shared" ref="F198:F261" si="17">HEX2DEC(MID(C198,4,2))</f>
        <v>217</v>
      </c>
      <c r="G198">
        <f t="shared" ref="G198:G261" si="18">HEX2DEC(MID(C198,6,2))</f>
        <v>237</v>
      </c>
    </row>
    <row r="199" spans="1:7" x14ac:dyDescent="0.15">
      <c r="A199" t="str">
        <f t="shared" si="15"/>
        <v>291</v>
      </c>
      <c r="B199">
        <v>206</v>
      </c>
      <c r="C199" s="246" t="s">
        <v>1605</v>
      </c>
      <c r="D199" t="s">
        <v>1604</v>
      </c>
      <c r="E199">
        <f t="shared" si="16"/>
        <v>164</v>
      </c>
      <c r="F199">
        <f t="shared" si="17"/>
        <v>206</v>
      </c>
      <c r="G199">
        <f t="shared" si="18"/>
        <v>236</v>
      </c>
    </row>
    <row r="200" spans="1:7" x14ac:dyDescent="0.15">
      <c r="A200" t="str">
        <f t="shared" si="15"/>
        <v>292</v>
      </c>
      <c r="B200">
        <v>207</v>
      </c>
      <c r="C200" s="247" t="s">
        <v>1607</v>
      </c>
      <c r="D200" t="s">
        <v>1606</v>
      </c>
      <c r="E200">
        <f t="shared" si="16"/>
        <v>106</v>
      </c>
      <c r="F200">
        <f t="shared" si="17"/>
        <v>178</v>
      </c>
      <c r="G200">
        <f t="shared" si="18"/>
        <v>231</v>
      </c>
    </row>
    <row r="201" spans="1:7" x14ac:dyDescent="0.15">
      <c r="A201" t="str">
        <f t="shared" si="15"/>
        <v>293</v>
      </c>
      <c r="B201">
        <v>208</v>
      </c>
      <c r="C201" s="248" t="s">
        <v>1609</v>
      </c>
      <c r="D201" t="s">
        <v>1608</v>
      </c>
      <c r="E201">
        <f t="shared" si="16"/>
        <v>0</v>
      </c>
      <c r="F201">
        <f t="shared" si="17"/>
        <v>71</v>
      </c>
      <c r="G201">
        <f t="shared" si="18"/>
        <v>182</v>
      </c>
    </row>
    <row r="202" spans="1:7" x14ac:dyDescent="0.15">
      <c r="A202" t="str">
        <f t="shared" si="15"/>
        <v>294</v>
      </c>
      <c r="B202">
        <v>209</v>
      </c>
      <c r="C202" s="249" t="s">
        <v>1611</v>
      </c>
      <c r="D202" t="s">
        <v>1610</v>
      </c>
      <c r="E202">
        <f t="shared" si="16"/>
        <v>0</v>
      </c>
      <c r="F202">
        <f t="shared" si="17"/>
        <v>53</v>
      </c>
      <c r="G202">
        <f t="shared" si="18"/>
        <v>128</v>
      </c>
    </row>
    <row r="203" spans="1:7" x14ac:dyDescent="0.15">
      <c r="A203" t="str">
        <f t="shared" si="15"/>
        <v>295</v>
      </c>
      <c r="B203">
        <v>210</v>
      </c>
      <c r="C203" s="250" t="s">
        <v>1613</v>
      </c>
      <c r="D203" t="s">
        <v>1612</v>
      </c>
      <c r="E203">
        <f t="shared" si="16"/>
        <v>0</v>
      </c>
      <c r="F203">
        <f t="shared" si="17"/>
        <v>45</v>
      </c>
      <c r="G203">
        <f t="shared" si="18"/>
        <v>98</v>
      </c>
    </row>
    <row r="204" spans="1:7" x14ac:dyDescent="0.15">
      <c r="A204" t="str">
        <f t="shared" si="15"/>
        <v>296</v>
      </c>
      <c r="B204">
        <v>211</v>
      </c>
      <c r="C204" s="251" t="s">
        <v>1615</v>
      </c>
      <c r="D204" t="s">
        <v>1614</v>
      </c>
      <c r="E204">
        <f t="shared" si="16"/>
        <v>0</v>
      </c>
      <c r="F204">
        <f t="shared" si="17"/>
        <v>39</v>
      </c>
      <c r="G204">
        <f t="shared" si="18"/>
        <v>64</v>
      </c>
    </row>
    <row r="205" spans="1:7" x14ac:dyDescent="0.15">
      <c r="A205" t="str">
        <f t="shared" si="15"/>
        <v>297</v>
      </c>
      <c r="B205">
        <v>212</v>
      </c>
      <c r="C205" s="252" t="s">
        <v>1617</v>
      </c>
      <c r="D205" t="s">
        <v>1616</v>
      </c>
      <c r="E205">
        <f t="shared" si="16"/>
        <v>120</v>
      </c>
      <c r="F205">
        <f t="shared" si="17"/>
        <v>199</v>
      </c>
      <c r="G205">
        <f t="shared" si="18"/>
        <v>235</v>
      </c>
    </row>
    <row r="206" spans="1:7" x14ac:dyDescent="0.15">
      <c r="A206" t="str">
        <f t="shared" si="15"/>
        <v>298</v>
      </c>
      <c r="B206">
        <v>213</v>
      </c>
      <c r="C206" s="253" t="s">
        <v>1619</v>
      </c>
      <c r="D206" t="s">
        <v>1618</v>
      </c>
      <c r="E206">
        <f t="shared" si="16"/>
        <v>66</v>
      </c>
      <c r="F206">
        <f t="shared" si="17"/>
        <v>180</v>
      </c>
      <c r="G206">
        <f t="shared" si="18"/>
        <v>230</v>
      </c>
    </row>
    <row r="207" spans="1:7" x14ac:dyDescent="0.15">
      <c r="A207" t="str">
        <f t="shared" si="15"/>
        <v>299</v>
      </c>
      <c r="B207">
        <v>214</v>
      </c>
      <c r="C207" s="254" t="s">
        <v>1621</v>
      </c>
      <c r="D207" t="s">
        <v>1620</v>
      </c>
      <c r="E207">
        <f t="shared" si="16"/>
        <v>0</v>
      </c>
      <c r="F207">
        <f t="shared" si="17"/>
        <v>160</v>
      </c>
      <c r="G207">
        <f t="shared" si="18"/>
        <v>226</v>
      </c>
    </row>
    <row r="208" spans="1:7" x14ac:dyDescent="0.15">
      <c r="A208" t="str">
        <f t="shared" si="15"/>
        <v>300</v>
      </c>
      <c r="B208">
        <v>215</v>
      </c>
      <c r="C208" s="255" t="s">
        <v>1623</v>
      </c>
      <c r="D208" t="s">
        <v>1622</v>
      </c>
      <c r="E208">
        <f t="shared" si="16"/>
        <v>0</v>
      </c>
      <c r="F208">
        <f t="shared" si="17"/>
        <v>103</v>
      </c>
      <c r="G208">
        <f t="shared" si="18"/>
        <v>198</v>
      </c>
    </row>
    <row r="209" spans="1:7" x14ac:dyDescent="0.15">
      <c r="A209" t="str">
        <f t="shared" si="15"/>
        <v>301</v>
      </c>
      <c r="B209">
        <v>216</v>
      </c>
      <c r="C209" s="256" t="s">
        <v>1625</v>
      </c>
      <c r="D209" t="s">
        <v>1624</v>
      </c>
      <c r="E209">
        <f t="shared" si="16"/>
        <v>0</v>
      </c>
      <c r="F209">
        <f t="shared" si="17"/>
        <v>82</v>
      </c>
      <c r="G209">
        <f t="shared" si="18"/>
        <v>155</v>
      </c>
    </row>
    <row r="210" spans="1:7" x14ac:dyDescent="0.15">
      <c r="A210" t="str">
        <f t="shared" si="15"/>
        <v>302</v>
      </c>
      <c r="B210">
        <v>217</v>
      </c>
      <c r="C210" s="257" t="s">
        <v>1627</v>
      </c>
      <c r="D210" t="s">
        <v>1626</v>
      </c>
      <c r="E210">
        <f t="shared" si="16"/>
        <v>0</v>
      </c>
      <c r="F210">
        <f t="shared" si="17"/>
        <v>67</v>
      </c>
      <c r="G210">
        <f t="shared" si="18"/>
        <v>110</v>
      </c>
    </row>
    <row r="211" spans="1:7" x14ac:dyDescent="0.15">
      <c r="A211" t="str">
        <f t="shared" si="15"/>
        <v>303</v>
      </c>
      <c r="B211">
        <v>218</v>
      </c>
      <c r="C211" s="258" t="s">
        <v>1629</v>
      </c>
      <c r="D211" t="s">
        <v>1628</v>
      </c>
      <c r="E211">
        <f t="shared" si="16"/>
        <v>0</v>
      </c>
      <c r="F211">
        <f t="shared" si="17"/>
        <v>52</v>
      </c>
      <c r="G211">
        <f t="shared" si="18"/>
        <v>77</v>
      </c>
    </row>
    <row r="212" spans="1:7" x14ac:dyDescent="0.15">
      <c r="A212" t="str">
        <f t="shared" si="15"/>
        <v>304</v>
      </c>
      <c r="B212">
        <v>220</v>
      </c>
      <c r="C212" s="259" t="s">
        <v>1631</v>
      </c>
      <c r="D212" t="s">
        <v>1630</v>
      </c>
      <c r="E212">
        <f t="shared" si="16"/>
        <v>162</v>
      </c>
      <c r="F212">
        <f t="shared" si="17"/>
        <v>219</v>
      </c>
      <c r="G212">
        <f t="shared" si="18"/>
        <v>235</v>
      </c>
    </row>
    <row r="213" spans="1:7" x14ac:dyDescent="0.15">
      <c r="A213" t="str">
        <f t="shared" si="15"/>
        <v>305</v>
      </c>
      <c r="B213">
        <v>221</v>
      </c>
      <c r="C213" s="260" t="s">
        <v>1633</v>
      </c>
      <c r="D213" t="s">
        <v>1632</v>
      </c>
      <c r="E213">
        <f t="shared" si="16"/>
        <v>83</v>
      </c>
      <c r="F213">
        <f t="shared" si="17"/>
        <v>202</v>
      </c>
      <c r="G213">
        <f t="shared" si="18"/>
        <v>235</v>
      </c>
    </row>
    <row r="214" spans="1:7" x14ac:dyDescent="0.15">
      <c r="A214" t="str">
        <f t="shared" si="15"/>
        <v>306</v>
      </c>
      <c r="B214">
        <v>222</v>
      </c>
      <c r="C214" s="261" t="s">
        <v>1635</v>
      </c>
      <c r="D214" t="s">
        <v>1634</v>
      </c>
      <c r="E214">
        <f t="shared" si="16"/>
        <v>0</v>
      </c>
      <c r="F214">
        <f t="shared" si="17"/>
        <v>181</v>
      </c>
      <c r="G214">
        <f t="shared" si="18"/>
        <v>230</v>
      </c>
    </row>
    <row r="215" spans="1:7" x14ac:dyDescent="0.15">
      <c r="A215" t="str">
        <f t="shared" si="15"/>
        <v xml:space="preserve">Process Blue </v>
      </c>
      <c r="B215">
        <v>223</v>
      </c>
      <c r="C215" s="262" t="s">
        <v>1637</v>
      </c>
      <c r="D215" t="s">
        <v>1636</v>
      </c>
      <c r="E215">
        <f t="shared" si="16"/>
        <v>0</v>
      </c>
      <c r="F215">
        <f t="shared" si="17"/>
        <v>145</v>
      </c>
      <c r="G215">
        <f t="shared" si="18"/>
        <v>201</v>
      </c>
    </row>
    <row r="216" spans="1:7" x14ac:dyDescent="0.15">
      <c r="A216" t="str">
        <f t="shared" si="15"/>
        <v>307</v>
      </c>
      <c r="B216">
        <v>224</v>
      </c>
      <c r="C216" s="263" t="s">
        <v>1639</v>
      </c>
      <c r="D216" t="s">
        <v>1638</v>
      </c>
      <c r="E216">
        <f t="shared" si="16"/>
        <v>0</v>
      </c>
      <c r="F216">
        <f t="shared" si="17"/>
        <v>112</v>
      </c>
      <c r="G216">
        <f t="shared" si="18"/>
        <v>178</v>
      </c>
    </row>
    <row r="217" spans="1:7" x14ac:dyDescent="0.15">
      <c r="A217" t="str">
        <f t="shared" si="15"/>
        <v>308</v>
      </c>
      <c r="B217">
        <v>225</v>
      </c>
      <c r="C217" s="264" t="s">
        <v>1641</v>
      </c>
      <c r="D217" t="s">
        <v>1640</v>
      </c>
      <c r="E217">
        <f t="shared" si="16"/>
        <v>0</v>
      </c>
      <c r="F217">
        <f t="shared" si="17"/>
        <v>88</v>
      </c>
      <c r="G217">
        <f t="shared" si="18"/>
        <v>131</v>
      </c>
    </row>
    <row r="218" spans="1:7" x14ac:dyDescent="0.15">
      <c r="A218" t="str">
        <f t="shared" si="15"/>
        <v>309</v>
      </c>
      <c r="B218">
        <v>226</v>
      </c>
      <c r="C218" s="265" t="s">
        <v>1643</v>
      </c>
      <c r="D218" t="s">
        <v>1642</v>
      </c>
      <c r="E218">
        <f t="shared" si="16"/>
        <v>0</v>
      </c>
      <c r="F218">
        <f t="shared" si="17"/>
        <v>57</v>
      </c>
      <c r="G218">
        <f t="shared" si="18"/>
        <v>71</v>
      </c>
    </row>
    <row r="219" spans="1:7" x14ac:dyDescent="0.15">
      <c r="A219" t="str">
        <f t="shared" si="15"/>
        <v>310</v>
      </c>
      <c r="B219">
        <v>227</v>
      </c>
      <c r="C219" s="266" t="s">
        <v>1645</v>
      </c>
      <c r="D219" t="s">
        <v>1644</v>
      </c>
      <c r="E219">
        <f t="shared" si="16"/>
        <v>102</v>
      </c>
      <c r="F219">
        <f t="shared" si="17"/>
        <v>207</v>
      </c>
      <c r="G219">
        <f t="shared" si="18"/>
        <v>230</v>
      </c>
    </row>
    <row r="220" spans="1:7" x14ac:dyDescent="0.15">
      <c r="A220" t="str">
        <f t="shared" si="15"/>
        <v>311</v>
      </c>
      <c r="B220">
        <v>228</v>
      </c>
      <c r="C220" s="267" t="s">
        <v>1647</v>
      </c>
      <c r="D220" t="s">
        <v>1646</v>
      </c>
      <c r="E220">
        <f t="shared" si="16"/>
        <v>0</v>
      </c>
      <c r="F220">
        <f t="shared" si="17"/>
        <v>194</v>
      </c>
      <c r="G220">
        <f t="shared" si="18"/>
        <v>227</v>
      </c>
    </row>
    <row r="221" spans="1:7" x14ac:dyDescent="0.15">
      <c r="A221" t="str">
        <f t="shared" si="15"/>
        <v>312</v>
      </c>
      <c r="B221">
        <v>229</v>
      </c>
      <c r="C221" s="268" t="s">
        <v>1649</v>
      </c>
      <c r="D221" t="s">
        <v>1648</v>
      </c>
      <c r="E221">
        <f t="shared" si="16"/>
        <v>0</v>
      </c>
      <c r="F221">
        <f t="shared" si="17"/>
        <v>167</v>
      </c>
      <c r="G221">
        <f t="shared" si="18"/>
        <v>212</v>
      </c>
    </row>
    <row r="222" spans="1:7" x14ac:dyDescent="0.15">
      <c r="A222" t="str">
        <f t="shared" si="15"/>
        <v>313</v>
      </c>
      <c r="B222">
        <v>230</v>
      </c>
      <c r="C222" s="269" t="s">
        <v>1651</v>
      </c>
      <c r="D222" t="s">
        <v>1650</v>
      </c>
      <c r="E222">
        <f t="shared" si="16"/>
        <v>0</v>
      </c>
      <c r="F222">
        <f t="shared" si="17"/>
        <v>146</v>
      </c>
      <c r="G222">
        <f t="shared" si="18"/>
        <v>199</v>
      </c>
    </row>
    <row r="223" spans="1:7" x14ac:dyDescent="0.15">
      <c r="A223" t="str">
        <f t="shared" si="15"/>
        <v>314</v>
      </c>
      <c r="B223">
        <v>231</v>
      </c>
      <c r="C223" s="270" t="s">
        <v>1653</v>
      </c>
      <c r="D223" t="s">
        <v>1652</v>
      </c>
      <c r="E223">
        <f t="shared" si="16"/>
        <v>0</v>
      </c>
      <c r="F223">
        <f t="shared" si="17"/>
        <v>127</v>
      </c>
      <c r="G223">
        <f t="shared" si="18"/>
        <v>172</v>
      </c>
    </row>
    <row r="224" spans="1:7" x14ac:dyDescent="0.15">
      <c r="A224" t="str">
        <f t="shared" si="15"/>
        <v>315</v>
      </c>
      <c r="B224">
        <v>232</v>
      </c>
      <c r="C224" s="271" t="s">
        <v>1655</v>
      </c>
      <c r="D224" t="s">
        <v>1654</v>
      </c>
      <c r="E224">
        <f t="shared" si="16"/>
        <v>0</v>
      </c>
      <c r="F224">
        <f t="shared" si="17"/>
        <v>102</v>
      </c>
      <c r="G224">
        <f t="shared" si="18"/>
        <v>133</v>
      </c>
    </row>
    <row r="225" spans="1:7" x14ac:dyDescent="0.15">
      <c r="A225" t="str">
        <f t="shared" si="15"/>
        <v>316</v>
      </c>
      <c r="B225">
        <v>233</v>
      </c>
      <c r="C225" s="272" t="s">
        <v>1657</v>
      </c>
      <c r="D225" t="s">
        <v>1656</v>
      </c>
      <c r="E225">
        <f t="shared" si="16"/>
        <v>0</v>
      </c>
      <c r="F225">
        <f t="shared" si="17"/>
        <v>70</v>
      </c>
      <c r="G225">
        <f t="shared" si="18"/>
        <v>80</v>
      </c>
    </row>
    <row r="226" spans="1:7" x14ac:dyDescent="0.15">
      <c r="A226" t="str">
        <f t="shared" si="15"/>
        <v>317</v>
      </c>
      <c r="B226">
        <v>234</v>
      </c>
      <c r="C226" s="273" t="s">
        <v>1659</v>
      </c>
      <c r="D226" t="s">
        <v>1658</v>
      </c>
      <c r="E226">
        <f t="shared" si="16"/>
        <v>191</v>
      </c>
      <c r="F226">
        <f t="shared" si="17"/>
        <v>229</v>
      </c>
      <c r="G226">
        <f t="shared" si="18"/>
        <v>234</v>
      </c>
    </row>
    <row r="227" spans="1:7" x14ac:dyDescent="0.15">
      <c r="A227" t="str">
        <f t="shared" si="15"/>
        <v>318</v>
      </c>
      <c r="B227">
        <v>235</v>
      </c>
      <c r="C227" s="274" t="s">
        <v>1661</v>
      </c>
      <c r="D227" t="s">
        <v>1660</v>
      </c>
      <c r="E227">
        <f t="shared" si="16"/>
        <v>142</v>
      </c>
      <c r="F227">
        <f t="shared" si="17"/>
        <v>219</v>
      </c>
      <c r="G227">
        <f t="shared" si="18"/>
        <v>229</v>
      </c>
    </row>
    <row r="228" spans="1:7" x14ac:dyDescent="0.15">
      <c r="A228" t="str">
        <f t="shared" si="15"/>
        <v>319</v>
      </c>
      <c r="B228">
        <v>236</v>
      </c>
      <c r="C228" s="275" t="s">
        <v>1663</v>
      </c>
      <c r="D228" t="s">
        <v>1662</v>
      </c>
      <c r="E228">
        <f t="shared" si="16"/>
        <v>54</v>
      </c>
      <c r="F228">
        <f t="shared" si="17"/>
        <v>204</v>
      </c>
      <c r="G228">
        <f t="shared" si="18"/>
        <v>218</v>
      </c>
    </row>
    <row r="229" spans="1:7" x14ac:dyDescent="0.15">
      <c r="A229" t="str">
        <f t="shared" si="15"/>
        <v>320</v>
      </c>
      <c r="B229">
        <v>237</v>
      </c>
      <c r="C229" s="276" t="s">
        <v>1665</v>
      </c>
      <c r="D229" t="s">
        <v>1664</v>
      </c>
      <c r="E229">
        <f t="shared" si="16"/>
        <v>0</v>
      </c>
      <c r="F229">
        <f t="shared" si="17"/>
        <v>151</v>
      </c>
      <c r="G229">
        <f t="shared" si="18"/>
        <v>172</v>
      </c>
    </row>
    <row r="230" spans="1:7" x14ac:dyDescent="0.15">
      <c r="A230" t="str">
        <f t="shared" si="15"/>
        <v>321</v>
      </c>
      <c r="B230">
        <v>238</v>
      </c>
      <c r="C230" s="277" t="s">
        <v>1667</v>
      </c>
      <c r="D230" t="s">
        <v>1666</v>
      </c>
      <c r="E230">
        <f t="shared" si="16"/>
        <v>0</v>
      </c>
      <c r="F230">
        <f t="shared" si="17"/>
        <v>129</v>
      </c>
      <c r="G230">
        <f t="shared" si="18"/>
        <v>147</v>
      </c>
    </row>
    <row r="231" spans="1:7" x14ac:dyDescent="0.15">
      <c r="A231" t="str">
        <f t="shared" si="15"/>
        <v>322</v>
      </c>
      <c r="B231">
        <v>239</v>
      </c>
      <c r="C231" s="278" t="s">
        <v>1669</v>
      </c>
      <c r="D231" t="s">
        <v>1668</v>
      </c>
      <c r="E231">
        <f t="shared" si="16"/>
        <v>0</v>
      </c>
      <c r="F231">
        <f t="shared" si="17"/>
        <v>111</v>
      </c>
      <c r="G231">
        <f t="shared" si="18"/>
        <v>122</v>
      </c>
    </row>
    <row r="232" spans="1:7" x14ac:dyDescent="0.15">
      <c r="A232" t="str">
        <f t="shared" si="15"/>
        <v>323</v>
      </c>
      <c r="B232">
        <v>240</v>
      </c>
      <c r="C232" s="279" t="s">
        <v>1671</v>
      </c>
      <c r="D232" t="s">
        <v>1670</v>
      </c>
      <c r="E232">
        <f t="shared" si="16"/>
        <v>0</v>
      </c>
      <c r="F232">
        <f t="shared" si="17"/>
        <v>96</v>
      </c>
      <c r="G232">
        <f t="shared" si="18"/>
        <v>104</v>
      </c>
    </row>
    <row r="233" spans="1:7" x14ac:dyDescent="0.15">
      <c r="A233" t="str">
        <f t="shared" si="15"/>
        <v>324</v>
      </c>
      <c r="B233">
        <v>242</v>
      </c>
      <c r="C233" s="280" t="s">
        <v>1673</v>
      </c>
      <c r="D233" t="s">
        <v>1672</v>
      </c>
      <c r="E233">
        <f t="shared" si="16"/>
        <v>152</v>
      </c>
      <c r="F233">
        <f t="shared" si="17"/>
        <v>217</v>
      </c>
      <c r="G233">
        <f t="shared" si="18"/>
        <v>219</v>
      </c>
    </row>
    <row r="234" spans="1:7" x14ac:dyDescent="0.15">
      <c r="A234" t="str">
        <f t="shared" si="15"/>
        <v>325</v>
      </c>
      <c r="B234">
        <v>243</v>
      </c>
      <c r="C234" s="281" t="s">
        <v>1675</v>
      </c>
      <c r="D234" t="s">
        <v>1674</v>
      </c>
      <c r="E234">
        <f t="shared" si="16"/>
        <v>71</v>
      </c>
      <c r="F234">
        <f t="shared" si="17"/>
        <v>199</v>
      </c>
      <c r="G234">
        <f t="shared" si="18"/>
        <v>199</v>
      </c>
    </row>
    <row r="235" spans="1:7" x14ac:dyDescent="0.15">
      <c r="A235" t="str">
        <f t="shared" si="15"/>
        <v>326</v>
      </c>
      <c r="B235">
        <v>244</v>
      </c>
      <c r="C235" s="282" t="s">
        <v>1677</v>
      </c>
      <c r="D235" t="s">
        <v>1676</v>
      </c>
      <c r="E235">
        <f t="shared" si="16"/>
        <v>0</v>
      </c>
      <c r="F235">
        <f t="shared" si="17"/>
        <v>175</v>
      </c>
      <c r="G235">
        <f t="shared" si="18"/>
        <v>173</v>
      </c>
    </row>
    <row r="236" spans="1:7" x14ac:dyDescent="0.15">
      <c r="A236" t="str">
        <f t="shared" si="15"/>
        <v>327</v>
      </c>
      <c r="B236">
        <v>245</v>
      </c>
      <c r="C236" s="283" t="s">
        <v>1679</v>
      </c>
      <c r="D236" t="s">
        <v>1678</v>
      </c>
      <c r="E236">
        <f t="shared" si="16"/>
        <v>0</v>
      </c>
      <c r="F236">
        <f t="shared" si="17"/>
        <v>133</v>
      </c>
      <c r="G236">
        <f t="shared" si="18"/>
        <v>121</v>
      </c>
    </row>
    <row r="237" spans="1:7" x14ac:dyDescent="0.15">
      <c r="A237" t="str">
        <f t="shared" si="15"/>
        <v>328</v>
      </c>
      <c r="B237">
        <v>246</v>
      </c>
      <c r="C237" s="284" t="s">
        <v>1681</v>
      </c>
      <c r="D237" t="s">
        <v>1680</v>
      </c>
      <c r="E237">
        <f t="shared" si="16"/>
        <v>0</v>
      </c>
      <c r="F237">
        <f t="shared" si="17"/>
        <v>113</v>
      </c>
      <c r="G237">
        <f t="shared" si="18"/>
        <v>104</v>
      </c>
    </row>
    <row r="238" spans="1:7" x14ac:dyDescent="0.15">
      <c r="A238" t="str">
        <f t="shared" si="15"/>
        <v>329</v>
      </c>
      <c r="B238">
        <v>247</v>
      </c>
      <c r="C238" s="285" t="s">
        <v>1683</v>
      </c>
      <c r="D238" t="s">
        <v>1682</v>
      </c>
      <c r="E238">
        <f t="shared" si="16"/>
        <v>0</v>
      </c>
      <c r="F238">
        <f t="shared" si="17"/>
        <v>98</v>
      </c>
      <c r="G238">
        <f t="shared" si="18"/>
        <v>90</v>
      </c>
    </row>
    <row r="239" spans="1:7" x14ac:dyDescent="0.15">
      <c r="A239" t="str">
        <f t="shared" si="15"/>
        <v>330</v>
      </c>
      <c r="B239">
        <v>248</v>
      </c>
      <c r="C239" s="286" t="s">
        <v>1685</v>
      </c>
      <c r="D239" t="s">
        <v>1684</v>
      </c>
      <c r="E239">
        <f t="shared" si="16"/>
        <v>0</v>
      </c>
      <c r="F239">
        <f t="shared" si="17"/>
        <v>82</v>
      </c>
      <c r="G239">
        <f t="shared" si="18"/>
        <v>77</v>
      </c>
    </row>
    <row r="240" spans="1:7" x14ac:dyDescent="0.15">
      <c r="A240" t="str">
        <f t="shared" si="15"/>
        <v>331</v>
      </c>
      <c r="B240">
        <v>249</v>
      </c>
      <c r="C240" s="287" t="s">
        <v>1687</v>
      </c>
      <c r="D240" t="s">
        <v>1686</v>
      </c>
      <c r="E240">
        <f t="shared" si="16"/>
        <v>178</v>
      </c>
      <c r="F240">
        <f t="shared" si="17"/>
        <v>231</v>
      </c>
      <c r="G240">
        <f t="shared" si="18"/>
        <v>223</v>
      </c>
    </row>
    <row r="241" spans="1:7" x14ac:dyDescent="0.15">
      <c r="A241" t="str">
        <f t="shared" si="15"/>
        <v>332</v>
      </c>
      <c r="B241">
        <v>250</v>
      </c>
      <c r="C241" s="288" t="s">
        <v>1689</v>
      </c>
      <c r="D241" t="s">
        <v>1688</v>
      </c>
      <c r="E241">
        <f t="shared" si="16"/>
        <v>159</v>
      </c>
      <c r="F241">
        <f t="shared" si="17"/>
        <v>228</v>
      </c>
      <c r="G241">
        <f t="shared" si="18"/>
        <v>219</v>
      </c>
    </row>
    <row r="242" spans="1:7" x14ac:dyDescent="0.15">
      <c r="A242" t="str">
        <f t="shared" si="15"/>
        <v>333</v>
      </c>
      <c r="B242">
        <v>251</v>
      </c>
      <c r="C242" s="289" t="s">
        <v>1691</v>
      </c>
      <c r="D242" t="s">
        <v>1690</v>
      </c>
      <c r="E242">
        <f t="shared" si="16"/>
        <v>67</v>
      </c>
      <c r="F242">
        <f t="shared" si="17"/>
        <v>217</v>
      </c>
      <c r="G242">
        <f t="shared" si="18"/>
        <v>199</v>
      </c>
    </row>
    <row r="243" spans="1:7" x14ac:dyDescent="0.15">
      <c r="A243" t="str">
        <f t="shared" si="15"/>
        <v xml:space="preserve">Green </v>
      </c>
      <c r="B243">
        <v>252</v>
      </c>
      <c r="C243" s="290" t="s">
        <v>1693</v>
      </c>
      <c r="D243" t="s">
        <v>1692</v>
      </c>
      <c r="E243">
        <f t="shared" si="16"/>
        <v>0</v>
      </c>
      <c r="F243">
        <f t="shared" si="17"/>
        <v>175</v>
      </c>
      <c r="G243">
        <f t="shared" si="18"/>
        <v>147</v>
      </c>
    </row>
    <row r="244" spans="1:7" x14ac:dyDescent="0.15">
      <c r="A244" t="str">
        <f t="shared" si="15"/>
        <v>334</v>
      </c>
      <c r="B244">
        <v>253</v>
      </c>
      <c r="C244" s="291" t="s">
        <v>1695</v>
      </c>
      <c r="D244" t="s">
        <v>1694</v>
      </c>
      <c r="E244">
        <f t="shared" si="16"/>
        <v>0</v>
      </c>
      <c r="F244">
        <f t="shared" si="17"/>
        <v>152</v>
      </c>
      <c r="G244">
        <f t="shared" si="18"/>
        <v>120</v>
      </c>
    </row>
    <row r="245" spans="1:7" x14ac:dyDescent="0.15">
      <c r="A245" t="str">
        <f t="shared" si="15"/>
        <v>335</v>
      </c>
      <c r="B245">
        <v>254</v>
      </c>
      <c r="C245" s="292" t="s">
        <v>1697</v>
      </c>
      <c r="D245" t="s">
        <v>1696</v>
      </c>
      <c r="E245">
        <f t="shared" si="16"/>
        <v>0</v>
      </c>
      <c r="F245">
        <f t="shared" si="17"/>
        <v>123</v>
      </c>
      <c r="G245">
        <f t="shared" si="18"/>
        <v>99</v>
      </c>
    </row>
    <row r="246" spans="1:7" x14ac:dyDescent="0.15">
      <c r="A246" t="str">
        <f t="shared" si="15"/>
        <v>336</v>
      </c>
      <c r="B246">
        <v>255</v>
      </c>
      <c r="C246" s="293" t="s">
        <v>1699</v>
      </c>
      <c r="D246" t="s">
        <v>1698</v>
      </c>
      <c r="E246">
        <f t="shared" si="16"/>
        <v>0</v>
      </c>
      <c r="F246">
        <f t="shared" si="17"/>
        <v>102</v>
      </c>
      <c r="G246">
        <f t="shared" si="18"/>
        <v>81</v>
      </c>
    </row>
    <row r="247" spans="1:7" x14ac:dyDescent="0.15">
      <c r="A247" t="str">
        <f t="shared" si="15"/>
        <v>337</v>
      </c>
      <c r="B247">
        <v>256</v>
      </c>
      <c r="C247" s="294" t="s">
        <v>1701</v>
      </c>
      <c r="D247" t="s">
        <v>1700</v>
      </c>
      <c r="E247">
        <f t="shared" si="16"/>
        <v>148</v>
      </c>
      <c r="F247">
        <f t="shared" si="17"/>
        <v>216</v>
      </c>
      <c r="G247">
        <f t="shared" si="18"/>
        <v>200</v>
      </c>
    </row>
    <row r="248" spans="1:7" x14ac:dyDescent="0.15">
      <c r="A248" t="str">
        <f t="shared" si="15"/>
        <v>338</v>
      </c>
      <c r="B248">
        <v>257</v>
      </c>
      <c r="C248" s="295" t="s">
        <v>1703</v>
      </c>
      <c r="D248" t="s">
        <v>1702</v>
      </c>
      <c r="E248">
        <f t="shared" si="16"/>
        <v>118</v>
      </c>
      <c r="F248">
        <f t="shared" si="17"/>
        <v>209</v>
      </c>
      <c r="G248">
        <f t="shared" si="18"/>
        <v>189</v>
      </c>
    </row>
    <row r="249" spans="1:7" x14ac:dyDescent="0.15">
      <c r="A249" t="str">
        <f t="shared" si="15"/>
        <v>339</v>
      </c>
      <c r="B249">
        <v>258</v>
      </c>
      <c r="C249" s="296" t="s">
        <v>1705</v>
      </c>
      <c r="D249" t="s">
        <v>1704</v>
      </c>
      <c r="E249">
        <f t="shared" si="16"/>
        <v>0</v>
      </c>
      <c r="F249">
        <f t="shared" si="17"/>
        <v>176</v>
      </c>
      <c r="G249">
        <f t="shared" si="18"/>
        <v>139</v>
      </c>
    </row>
    <row r="250" spans="1:7" x14ac:dyDescent="0.15">
      <c r="A250" t="str">
        <f t="shared" si="15"/>
        <v>340</v>
      </c>
      <c r="B250">
        <v>259</v>
      </c>
      <c r="C250" s="297" t="s">
        <v>1707</v>
      </c>
      <c r="D250" t="s">
        <v>1706</v>
      </c>
      <c r="E250">
        <f t="shared" si="16"/>
        <v>0</v>
      </c>
      <c r="F250">
        <f t="shared" si="17"/>
        <v>148</v>
      </c>
      <c r="G250">
        <f t="shared" si="18"/>
        <v>96</v>
      </c>
    </row>
    <row r="251" spans="1:7" x14ac:dyDescent="0.15">
      <c r="A251" t="str">
        <f t="shared" si="15"/>
        <v>341</v>
      </c>
      <c r="B251">
        <v>260</v>
      </c>
      <c r="C251" s="298" t="s">
        <v>1709</v>
      </c>
      <c r="D251" t="s">
        <v>1708</v>
      </c>
      <c r="E251">
        <f t="shared" si="16"/>
        <v>0</v>
      </c>
      <c r="F251">
        <f t="shared" si="17"/>
        <v>120</v>
      </c>
      <c r="G251">
        <f t="shared" si="18"/>
        <v>86</v>
      </c>
    </row>
    <row r="252" spans="1:7" x14ac:dyDescent="0.15">
      <c r="A252" t="str">
        <f t="shared" si="15"/>
        <v>342</v>
      </c>
      <c r="B252">
        <v>261</v>
      </c>
      <c r="C252" s="299" t="s">
        <v>1711</v>
      </c>
      <c r="D252" t="s">
        <v>1710</v>
      </c>
      <c r="E252">
        <f t="shared" si="16"/>
        <v>0</v>
      </c>
      <c r="F252">
        <f t="shared" si="17"/>
        <v>106</v>
      </c>
      <c r="G252">
        <f t="shared" si="18"/>
        <v>78</v>
      </c>
    </row>
    <row r="253" spans="1:7" x14ac:dyDescent="0.15">
      <c r="A253" t="str">
        <f t="shared" si="15"/>
        <v>343</v>
      </c>
      <c r="B253">
        <v>262</v>
      </c>
      <c r="C253" s="300" t="s">
        <v>1713</v>
      </c>
      <c r="D253" t="s">
        <v>1712</v>
      </c>
      <c r="E253">
        <f t="shared" si="16"/>
        <v>0</v>
      </c>
      <c r="F253">
        <f t="shared" si="17"/>
        <v>83</v>
      </c>
      <c r="G253">
        <f t="shared" si="18"/>
        <v>62</v>
      </c>
    </row>
    <row r="254" spans="1:7" x14ac:dyDescent="0.15">
      <c r="A254" t="str">
        <f t="shared" si="15"/>
        <v>344</v>
      </c>
      <c r="B254">
        <v>264</v>
      </c>
      <c r="C254" s="301" t="s">
        <v>1715</v>
      </c>
      <c r="D254" t="s">
        <v>1714</v>
      </c>
      <c r="E254">
        <f t="shared" si="16"/>
        <v>166</v>
      </c>
      <c r="F254">
        <f t="shared" si="17"/>
        <v>222</v>
      </c>
      <c r="G254">
        <f t="shared" si="18"/>
        <v>193</v>
      </c>
    </row>
    <row r="255" spans="1:7" x14ac:dyDescent="0.15">
      <c r="A255" t="str">
        <f t="shared" si="15"/>
        <v>345</v>
      </c>
      <c r="B255">
        <v>265</v>
      </c>
      <c r="C255" s="302" t="s">
        <v>1717</v>
      </c>
      <c r="D255" t="s">
        <v>1716</v>
      </c>
      <c r="E255">
        <f t="shared" si="16"/>
        <v>137</v>
      </c>
      <c r="F255">
        <f t="shared" si="17"/>
        <v>213</v>
      </c>
      <c r="G255">
        <f t="shared" si="18"/>
        <v>175</v>
      </c>
    </row>
    <row r="256" spans="1:7" x14ac:dyDescent="0.15">
      <c r="A256" t="str">
        <f t="shared" si="15"/>
        <v>346</v>
      </c>
      <c r="B256">
        <v>266</v>
      </c>
      <c r="C256" s="303" t="s">
        <v>1719</v>
      </c>
      <c r="D256" t="s">
        <v>1718</v>
      </c>
      <c r="E256">
        <f t="shared" si="16"/>
        <v>94</v>
      </c>
      <c r="F256">
        <f t="shared" si="17"/>
        <v>201</v>
      </c>
      <c r="G256">
        <f t="shared" si="18"/>
        <v>152</v>
      </c>
    </row>
    <row r="257" spans="1:7" x14ac:dyDescent="0.15">
      <c r="A257" t="str">
        <f t="shared" si="15"/>
        <v>347</v>
      </c>
      <c r="B257">
        <v>267</v>
      </c>
      <c r="C257" s="304" t="s">
        <v>1721</v>
      </c>
      <c r="D257" t="s">
        <v>1720</v>
      </c>
      <c r="E257">
        <f t="shared" si="16"/>
        <v>0</v>
      </c>
      <c r="F257">
        <f t="shared" si="17"/>
        <v>149</v>
      </c>
      <c r="G257">
        <f t="shared" si="18"/>
        <v>67</v>
      </c>
    </row>
    <row r="258" spans="1:7" x14ac:dyDescent="0.15">
      <c r="A258" t="str">
        <f t="shared" si="15"/>
        <v>348</v>
      </c>
      <c r="B258">
        <v>268</v>
      </c>
      <c r="C258" s="305" t="s">
        <v>1723</v>
      </c>
      <c r="D258" t="s">
        <v>1722</v>
      </c>
      <c r="E258">
        <f t="shared" si="16"/>
        <v>0</v>
      </c>
      <c r="F258">
        <f t="shared" si="17"/>
        <v>126</v>
      </c>
      <c r="G258">
        <f t="shared" si="18"/>
        <v>58</v>
      </c>
    </row>
    <row r="259" spans="1:7" x14ac:dyDescent="0.15">
      <c r="A259" t="str">
        <f t="shared" ref="A259:A322" si="19">LEFT(D259,LEN(D259)-1)</f>
        <v>349</v>
      </c>
      <c r="B259">
        <v>269</v>
      </c>
      <c r="C259" s="306" t="s">
        <v>1725</v>
      </c>
      <c r="D259" t="s">
        <v>1724</v>
      </c>
      <c r="E259">
        <f t="shared" si="16"/>
        <v>0</v>
      </c>
      <c r="F259">
        <f t="shared" si="17"/>
        <v>98</v>
      </c>
      <c r="G259">
        <f t="shared" si="18"/>
        <v>51</v>
      </c>
    </row>
    <row r="260" spans="1:7" x14ac:dyDescent="0.15">
      <c r="A260" t="str">
        <f t="shared" si="19"/>
        <v>350</v>
      </c>
      <c r="B260">
        <v>270</v>
      </c>
      <c r="C260" s="307" t="s">
        <v>1727</v>
      </c>
      <c r="D260" t="s">
        <v>1726</v>
      </c>
      <c r="E260">
        <f t="shared" si="16"/>
        <v>24</v>
      </c>
      <c r="F260">
        <f t="shared" si="17"/>
        <v>71</v>
      </c>
      <c r="G260">
        <f t="shared" si="18"/>
        <v>44</v>
      </c>
    </row>
    <row r="261" spans="1:7" x14ac:dyDescent="0.15">
      <c r="A261" t="str">
        <f t="shared" si="19"/>
        <v>351</v>
      </c>
      <c r="B261">
        <v>271</v>
      </c>
      <c r="C261" s="308" t="s">
        <v>1729</v>
      </c>
      <c r="D261" t="s">
        <v>1728</v>
      </c>
      <c r="E261">
        <f t="shared" si="16"/>
        <v>167</v>
      </c>
      <c r="F261">
        <f t="shared" si="17"/>
        <v>230</v>
      </c>
      <c r="G261">
        <f t="shared" si="18"/>
        <v>196</v>
      </c>
    </row>
    <row r="262" spans="1:7" x14ac:dyDescent="0.15">
      <c r="A262" t="str">
        <f t="shared" si="19"/>
        <v>352</v>
      </c>
      <c r="B262">
        <v>272</v>
      </c>
      <c r="C262" s="309" t="s">
        <v>1731</v>
      </c>
      <c r="D262" t="s">
        <v>1730</v>
      </c>
      <c r="E262">
        <f t="shared" ref="E262:E325" si="20">HEX2DEC(MID(C262,2,2))</f>
        <v>135</v>
      </c>
      <c r="F262">
        <f t="shared" ref="F262:F325" si="21">HEX2DEC(MID(C262,4,2))</f>
        <v>224</v>
      </c>
      <c r="G262">
        <f t="shared" ref="G262:G325" si="22">HEX2DEC(MID(C262,6,2))</f>
        <v>176</v>
      </c>
    </row>
    <row r="263" spans="1:7" x14ac:dyDescent="0.15">
      <c r="A263" t="str">
        <f t="shared" si="19"/>
        <v>353</v>
      </c>
      <c r="B263">
        <v>273</v>
      </c>
      <c r="C263" s="310" t="s">
        <v>1733</v>
      </c>
      <c r="D263" t="s">
        <v>1732</v>
      </c>
      <c r="E263">
        <f t="shared" si="20"/>
        <v>106</v>
      </c>
      <c r="F263">
        <f t="shared" si="21"/>
        <v>220</v>
      </c>
      <c r="G263">
        <f t="shared" si="22"/>
        <v>162</v>
      </c>
    </row>
    <row r="264" spans="1:7" x14ac:dyDescent="0.15">
      <c r="A264" t="str">
        <f t="shared" si="19"/>
        <v>354</v>
      </c>
      <c r="B264">
        <v>274</v>
      </c>
      <c r="C264" s="311" t="s">
        <v>1735</v>
      </c>
      <c r="D264" t="s">
        <v>1734</v>
      </c>
      <c r="E264">
        <f t="shared" si="20"/>
        <v>0</v>
      </c>
      <c r="F264">
        <f t="shared" si="21"/>
        <v>171</v>
      </c>
      <c r="G264">
        <f t="shared" si="22"/>
        <v>57</v>
      </c>
    </row>
    <row r="265" spans="1:7" x14ac:dyDescent="0.15">
      <c r="A265" t="str">
        <f t="shared" si="19"/>
        <v>355</v>
      </c>
      <c r="B265">
        <v>275</v>
      </c>
      <c r="C265" s="312" t="s">
        <v>1737</v>
      </c>
      <c r="D265" t="s">
        <v>1736</v>
      </c>
      <c r="E265">
        <f t="shared" si="20"/>
        <v>0</v>
      </c>
      <c r="F265">
        <f t="shared" si="21"/>
        <v>149</v>
      </c>
      <c r="G265">
        <f t="shared" si="22"/>
        <v>48</v>
      </c>
    </row>
    <row r="266" spans="1:7" x14ac:dyDescent="0.15">
      <c r="A266" t="str">
        <f t="shared" si="19"/>
        <v>356</v>
      </c>
      <c r="B266">
        <v>276</v>
      </c>
      <c r="C266" s="313" t="s">
        <v>1739</v>
      </c>
      <c r="D266" t="s">
        <v>1738</v>
      </c>
      <c r="E266">
        <f t="shared" si="20"/>
        <v>0</v>
      </c>
      <c r="F266">
        <f t="shared" si="21"/>
        <v>114</v>
      </c>
      <c r="G266">
        <f t="shared" si="22"/>
        <v>41</v>
      </c>
    </row>
    <row r="267" spans="1:7" x14ac:dyDescent="0.15">
      <c r="A267" t="str">
        <f t="shared" si="19"/>
        <v>357</v>
      </c>
      <c r="B267">
        <v>277</v>
      </c>
      <c r="C267" s="314" t="s">
        <v>1741</v>
      </c>
      <c r="D267" t="s">
        <v>1740</v>
      </c>
      <c r="E267">
        <f t="shared" si="20"/>
        <v>15</v>
      </c>
      <c r="F267">
        <f t="shared" si="21"/>
        <v>77</v>
      </c>
      <c r="G267">
        <f t="shared" si="22"/>
        <v>42</v>
      </c>
    </row>
    <row r="268" spans="1:7" x14ac:dyDescent="0.15">
      <c r="A268" t="str">
        <f t="shared" si="19"/>
        <v>358</v>
      </c>
      <c r="B268">
        <v>278</v>
      </c>
      <c r="C268" s="315" t="s">
        <v>1743</v>
      </c>
      <c r="D268" t="s">
        <v>1742</v>
      </c>
      <c r="E268">
        <f t="shared" si="20"/>
        <v>165</v>
      </c>
      <c r="F268">
        <f t="shared" si="21"/>
        <v>219</v>
      </c>
      <c r="G268">
        <f t="shared" si="22"/>
        <v>146</v>
      </c>
    </row>
    <row r="269" spans="1:7" x14ac:dyDescent="0.15">
      <c r="A269" t="str">
        <f t="shared" si="19"/>
        <v>359</v>
      </c>
      <c r="B269">
        <v>279</v>
      </c>
      <c r="C269" s="316" t="s">
        <v>1745</v>
      </c>
      <c r="D269" t="s">
        <v>1744</v>
      </c>
      <c r="E269">
        <f t="shared" si="20"/>
        <v>159</v>
      </c>
      <c r="F269">
        <f t="shared" si="21"/>
        <v>217</v>
      </c>
      <c r="G269">
        <f t="shared" si="22"/>
        <v>139</v>
      </c>
    </row>
    <row r="270" spans="1:7" x14ac:dyDescent="0.15">
      <c r="A270" t="str">
        <f t="shared" si="19"/>
        <v>360</v>
      </c>
      <c r="B270">
        <v>280</v>
      </c>
      <c r="C270" s="317" t="s">
        <v>1747</v>
      </c>
      <c r="D270" t="s">
        <v>1746</v>
      </c>
      <c r="E270">
        <f t="shared" si="20"/>
        <v>85</v>
      </c>
      <c r="F270">
        <f t="shared" si="21"/>
        <v>190</v>
      </c>
      <c r="G270">
        <f t="shared" si="22"/>
        <v>71</v>
      </c>
    </row>
    <row r="271" spans="1:7" x14ac:dyDescent="0.15">
      <c r="A271" t="str">
        <f t="shared" si="19"/>
        <v>361</v>
      </c>
      <c r="B271">
        <v>281</v>
      </c>
      <c r="C271" s="318" t="s">
        <v>1749</v>
      </c>
      <c r="D271" t="s">
        <v>1748</v>
      </c>
      <c r="E271">
        <f t="shared" si="20"/>
        <v>18</v>
      </c>
      <c r="F271">
        <f t="shared" si="21"/>
        <v>173</v>
      </c>
      <c r="G271">
        <f t="shared" si="22"/>
        <v>43</v>
      </c>
    </row>
    <row r="272" spans="1:7" x14ac:dyDescent="0.15">
      <c r="A272" t="str">
        <f t="shared" si="19"/>
        <v>362</v>
      </c>
      <c r="B272">
        <v>282</v>
      </c>
      <c r="C272" s="45" t="s">
        <v>1751</v>
      </c>
      <c r="D272" t="s">
        <v>1750</v>
      </c>
      <c r="E272">
        <f t="shared" si="20"/>
        <v>40</v>
      </c>
      <c r="F272">
        <f t="shared" si="21"/>
        <v>151</v>
      </c>
      <c r="G272">
        <f t="shared" si="22"/>
        <v>40</v>
      </c>
    </row>
    <row r="273" spans="1:7" x14ac:dyDescent="0.15">
      <c r="A273" t="str">
        <f t="shared" si="19"/>
        <v>363</v>
      </c>
      <c r="B273">
        <v>283</v>
      </c>
      <c r="C273" s="319" t="s">
        <v>1753</v>
      </c>
      <c r="D273" t="s">
        <v>1752</v>
      </c>
      <c r="E273">
        <f t="shared" si="20"/>
        <v>47</v>
      </c>
      <c r="F273">
        <f t="shared" si="21"/>
        <v>137</v>
      </c>
      <c r="G273">
        <f t="shared" si="22"/>
        <v>39</v>
      </c>
    </row>
    <row r="274" spans="1:7" x14ac:dyDescent="0.15">
      <c r="A274" t="str">
        <f t="shared" si="19"/>
        <v>364</v>
      </c>
      <c r="B274">
        <v>284</v>
      </c>
      <c r="C274" s="320" t="s">
        <v>1755</v>
      </c>
      <c r="D274" t="s">
        <v>1754</v>
      </c>
      <c r="E274">
        <f t="shared" si="20"/>
        <v>49</v>
      </c>
      <c r="F274">
        <f t="shared" si="21"/>
        <v>112</v>
      </c>
      <c r="G274">
        <f t="shared" si="22"/>
        <v>35</v>
      </c>
    </row>
    <row r="275" spans="1:7" x14ac:dyDescent="0.15">
      <c r="A275" t="str">
        <f t="shared" si="19"/>
        <v>365</v>
      </c>
      <c r="B275">
        <v>286</v>
      </c>
      <c r="C275" s="321" t="s">
        <v>1757</v>
      </c>
      <c r="D275" t="s">
        <v>1756</v>
      </c>
      <c r="E275">
        <f t="shared" si="20"/>
        <v>204</v>
      </c>
      <c r="F275">
        <f t="shared" si="21"/>
        <v>229</v>
      </c>
      <c r="G275">
        <f t="shared" si="22"/>
        <v>162</v>
      </c>
    </row>
    <row r="276" spans="1:7" x14ac:dyDescent="0.15">
      <c r="A276" t="str">
        <f t="shared" si="19"/>
        <v>366</v>
      </c>
      <c r="B276">
        <v>287</v>
      </c>
      <c r="C276" s="322" t="s">
        <v>1759</v>
      </c>
      <c r="D276" t="s">
        <v>1758</v>
      </c>
      <c r="E276">
        <f t="shared" si="20"/>
        <v>188</v>
      </c>
      <c r="F276">
        <f t="shared" si="21"/>
        <v>225</v>
      </c>
      <c r="G276">
        <f t="shared" si="22"/>
        <v>141</v>
      </c>
    </row>
    <row r="277" spans="1:7" x14ac:dyDescent="0.15">
      <c r="A277" t="str">
        <f t="shared" si="19"/>
        <v>367</v>
      </c>
      <c r="B277">
        <v>288</v>
      </c>
      <c r="C277" s="323" t="s">
        <v>1761</v>
      </c>
      <c r="D277" t="s">
        <v>1760</v>
      </c>
      <c r="E277">
        <f t="shared" si="20"/>
        <v>164</v>
      </c>
      <c r="F277">
        <f t="shared" si="21"/>
        <v>216</v>
      </c>
      <c r="G277">
        <f t="shared" si="22"/>
        <v>103</v>
      </c>
    </row>
    <row r="278" spans="1:7" x14ac:dyDescent="0.15">
      <c r="A278" t="str">
        <f t="shared" si="19"/>
        <v>368</v>
      </c>
      <c r="B278">
        <v>289</v>
      </c>
      <c r="C278" s="324" t="s">
        <v>1763</v>
      </c>
      <c r="D278" t="s">
        <v>1762</v>
      </c>
      <c r="E278">
        <f t="shared" si="20"/>
        <v>98</v>
      </c>
      <c r="F278">
        <f t="shared" si="21"/>
        <v>189</v>
      </c>
      <c r="G278">
        <f t="shared" si="22"/>
        <v>25</v>
      </c>
    </row>
    <row r="279" spans="1:7" x14ac:dyDescent="0.15">
      <c r="A279" t="str">
        <f t="shared" si="19"/>
        <v>369</v>
      </c>
      <c r="B279">
        <v>290</v>
      </c>
      <c r="C279" s="325" t="s">
        <v>1765</v>
      </c>
      <c r="D279" t="s">
        <v>1764</v>
      </c>
      <c r="E279">
        <f t="shared" si="20"/>
        <v>79</v>
      </c>
      <c r="F279">
        <f t="shared" si="21"/>
        <v>166</v>
      </c>
      <c r="G279">
        <f t="shared" si="22"/>
        <v>0</v>
      </c>
    </row>
    <row r="280" spans="1:7" x14ac:dyDescent="0.15">
      <c r="A280" t="str">
        <f t="shared" si="19"/>
        <v>370</v>
      </c>
      <c r="B280">
        <v>291</v>
      </c>
      <c r="C280" s="326" t="s">
        <v>1767</v>
      </c>
      <c r="D280" t="s">
        <v>1766</v>
      </c>
      <c r="E280">
        <f t="shared" si="20"/>
        <v>79</v>
      </c>
      <c r="F280">
        <f t="shared" si="21"/>
        <v>138</v>
      </c>
      <c r="G280">
        <f t="shared" si="22"/>
        <v>16</v>
      </c>
    </row>
    <row r="281" spans="1:7" x14ac:dyDescent="0.15">
      <c r="A281" t="str">
        <f t="shared" si="19"/>
        <v>371</v>
      </c>
      <c r="B281">
        <v>292</v>
      </c>
      <c r="C281" s="327" t="s">
        <v>1769</v>
      </c>
      <c r="D281" t="s">
        <v>1768</v>
      </c>
      <c r="E281">
        <f t="shared" si="20"/>
        <v>74</v>
      </c>
      <c r="F281">
        <f t="shared" si="21"/>
        <v>96</v>
      </c>
      <c r="G281">
        <f t="shared" si="22"/>
        <v>28</v>
      </c>
    </row>
    <row r="282" spans="1:7" x14ac:dyDescent="0.15">
      <c r="A282" t="str">
        <f t="shared" si="19"/>
        <v>372</v>
      </c>
      <c r="B282">
        <v>293</v>
      </c>
      <c r="C282" s="328" t="s">
        <v>1771</v>
      </c>
      <c r="D282" t="s">
        <v>1770</v>
      </c>
      <c r="E282">
        <f t="shared" si="20"/>
        <v>215</v>
      </c>
      <c r="F282">
        <f t="shared" si="21"/>
        <v>233</v>
      </c>
      <c r="G282">
        <f t="shared" si="22"/>
        <v>161</v>
      </c>
    </row>
    <row r="283" spans="1:7" x14ac:dyDescent="0.15">
      <c r="A283" t="str">
        <f t="shared" si="19"/>
        <v>373</v>
      </c>
      <c r="B283">
        <v>294</v>
      </c>
      <c r="C283" s="329" t="s">
        <v>1773</v>
      </c>
      <c r="D283" t="s">
        <v>1772</v>
      </c>
      <c r="E283">
        <f t="shared" si="20"/>
        <v>205</v>
      </c>
      <c r="F283">
        <f t="shared" si="21"/>
        <v>233</v>
      </c>
      <c r="G283">
        <f t="shared" si="22"/>
        <v>133</v>
      </c>
    </row>
    <row r="284" spans="1:7" x14ac:dyDescent="0.15">
      <c r="A284" t="str">
        <f t="shared" si="19"/>
        <v>374</v>
      </c>
      <c r="B284">
        <v>295</v>
      </c>
      <c r="C284" s="330" t="s">
        <v>1775</v>
      </c>
      <c r="D284" t="s">
        <v>1774</v>
      </c>
      <c r="E284">
        <f t="shared" si="20"/>
        <v>186</v>
      </c>
      <c r="F284">
        <f t="shared" si="21"/>
        <v>229</v>
      </c>
      <c r="G284">
        <f t="shared" si="22"/>
        <v>95</v>
      </c>
    </row>
    <row r="285" spans="1:7" x14ac:dyDescent="0.15">
      <c r="A285" t="str">
        <f t="shared" si="19"/>
        <v>375</v>
      </c>
      <c r="B285">
        <v>296</v>
      </c>
      <c r="C285" s="331" t="s">
        <v>1777</v>
      </c>
      <c r="D285" t="s">
        <v>1776</v>
      </c>
      <c r="E285">
        <f t="shared" si="20"/>
        <v>135</v>
      </c>
      <c r="F285">
        <f t="shared" si="21"/>
        <v>211</v>
      </c>
      <c r="G285">
        <f t="shared" si="22"/>
        <v>0</v>
      </c>
    </row>
    <row r="286" spans="1:7" x14ac:dyDescent="0.15">
      <c r="A286" t="str">
        <f t="shared" si="19"/>
        <v>376</v>
      </c>
      <c r="B286">
        <v>297</v>
      </c>
      <c r="C286" s="332" t="s">
        <v>1779</v>
      </c>
      <c r="D286" t="s">
        <v>1778</v>
      </c>
      <c r="E286">
        <f t="shared" si="20"/>
        <v>118</v>
      </c>
      <c r="F286">
        <f t="shared" si="21"/>
        <v>185</v>
      </c>
      <c r="G286">
        <f t="shared" si="22"/>
        <v>0</v>
      </c>
    </row>
    <row r="287" spans="1:7" x14ac:dyDescent="0.15">
      <c r="A287" t="str">
        <f t="shared" si="19"/>
        <v>377</v>
      </c>
      <c r="B287">
        <v>298</v>
      </c>
      <c r="C287" s="333" t="s">
        <v>1781</v>
      </c>
      <c r="D287" t="s">
        <v>1780</v>
      </c>
      <c r="E287">
        <f t="shared" si="20"/>
        <v>103</v>
      </c>
      <c r="F287">
        <f t="shared" si="21"/>
        <v>144</v>
      </c>
      <c r="G287">
        <f t="shared" si="22"/>
        <v>0</v>
      </c>
    </row>
    <row r="288" spans="1:7" x14ac:dyDescent="0.15">
      <c r="A288" t="str">
        <f t="shared" si="19"/>
        <v>378</v>
      </c>
      <c r="B288">
        <v>299</v>
      </c>
      <c r="C288" s="334" t="s">
        <v>1783</v>
      </c>
      <c r="D288" t="s">
        <v>1782</v>
      </c>
      <c r="E288">
        <f t="shared" si="20"/>
        <v>77</v>
      </c>
      <c r="F288">
        <f t="shared" si="21"/>
        <v>90</v>
      </c>
      <c r="G288">
        <f t="shared" si="22"/>
        <v>18</v>
      </c>
    </row>
    <row r="289" spans="1:7" x14ac:dyDescent="0.15">
      <c r="A289" t="str">
        <f t="shared" si="19"/>
        <v>379</v>
      </c>
      <c r="B289">
        <v>300</v>
      </c>
      <c r="C289" s="335" t="s">
        <v>1785</v>
      </c>
      <c r="D289" t="s">
        <v>1784</v>
      </c>
      <c r="E289">
        <f t="shared" si="20"/>
        <v>221</v>
      </c>
      <c r="F289">
        <f t="shared" si="21"/>
        <v>229</v>
      </c>
      <c r="G289">
        <f t="shared" si="22"/>
        <v>108</v>
      </c>
    </row>
    <row r="290" spans="1:7" x14ac:dyDescent="0.15">
      <c r="A290" t="str">
        <f t="shared" si="19"/>
        <v>380</v>
      </c>
      <c r="B290">
        <v>301</v>
      </c>
      <c r="C290" s="336" t="s">
        <v>1787</v>
      </c>
      <c r="D290" t="s">
        <v>1786</v>
      </c>
      <c r="E290">
        <f t="shared" si="20"/>
        <v>211</v>
      </c>
      <c r="F290">
        <f t="shared" si="21"/>
        <v>225</v>
      </c>
      <c r="G290">
        <f t="shared" si="22"/>
        <v>60</v>
      </c>
    </row>
    <row r="291" spans="1:7" x14ac:dyDescent="0.15">
      <c r="A291" t="str">
        <f t="shared" si="19"/>
        <v>381</v>
      </c>
      <c r="B291">
        <v>302</v>
      </c>
      <c r="C291" s="337" t="s">
        <v>1789</v>
      </c>
      <c r="D291" t="s">
        <v>1788</v>
      </c>
      <c r="E291">
        <f t="shared" si="20"/>
        <v>200</v>
      </c>
      <c r="F291">
        <f t="shared" si="21"/>
        <v>219</v>
      </c>
      <c r="G291">
        <f t="shared" si="22"/>
        <v>0</v>
      </c>
    </row>
    <row r="292" spans="1:7" x14ac:dyDescent="0.15">
      <c r="A292" t="str">
        <f t="shared" si="19"/>
        <v>382</v>
      </c>
      <c r="B292">
        <v>303</v>
      </c>
      <c r="C292" s="338" t="s">
        <v>1791</v>
      </c>
      <c r="D292" t="s">
        <v>1790</v>
      </c>
      <c r="E292">
        <f t="shared" si="20"/>
        <v>185</v>
      </c>
      <c r="F292">
        <f t="shared" si="21"/>
        <v>211</v>
      </c>
      <c r="G292">
        <f t="shared" si="22"/>
        <v>0</v>
      </c>
    </row>
    <row r="293" spans="1:7" x14ac:dyDescent="0.15">
      <c r="A293" t="str">
        <f t="shared" si="19"/>
        <v>383</v>
      </c>
      <c r="B293">
        <v>304</v>
      </c>
      <c r="C293" s="339" t="s">
        <v>1793</v>
      </c>
      <c r="D293" t="s">
        <v>1792</v>
      </c>
      <c r="E293">
        <f t="shared" si="20"/>
        <v>159</v>
      </c>
      <c r="F293">
        <f t="shared" si="21"/>
        <v>170</v>
      </c>
      <c r="G293">
        <f t="shared" si="22"/>
        <v>0</v>
      </c>
    </row>
    <row r="294" spans="1:7" x14ac:dyDescent="0.15">
      <c r="A294" t="str">
        <f t="shared" si="19"/>
        <v>384</v>
      </c>
      <c r="B294">
        <v>305</v>
      </c>
      <c r="C294" s="340" t="s">
        <v>1795</v>
      </c>
      <c r="D294" t="s">
        <v>1794</v>
      </c>
      <c r="E294">
        <f t="shared" si="20"/>
        <v>139</v>
      </c>
      <c r="F294">
        <f t="shared" si="21"/>
        <v>144</v>
      </c>
      <c r="G294">
        <f t="shared" si="22"/>
        <v>0</v>
      </c>
    </row>
    <row r="295" spans="1:7" x14ac:dyDescent="0.15">
      <c r="A295" t="str">
        <f t="shared" si="19"/>
        <v>385</v>
      </c>
      <c r="B295">
        <v>306</v>
      </c>
      <c r="C295" s="341" t="s">
        <v>1797</v>
      </c>
      <c r="D295" t="s">
        <v>1796</v>
      </c>
      <c r="E295">
        <f t="shared" si="20"/>
        <v>110</v>
      </c>
      <c r="F295">
        <f t="shared" si="21"/>
        <v>106</v>
      </c>
      <c r="G295">
        <f t="shared" si="22"/>
        <v>18</v>
      </c>
    </row>
    <row r="296" spans="1:7" x14ac:dyDescent="0.15">
      <c r="A296" t="str">
        <f t="shared" si="19"/>
        <v>386</v>
      </c>
      <c r="B296">
        <v>308</v>
      </c>
      <c r="C296" s="342" t="s">
        <v>1799</v>
      </c>
      <c r="D296" t="s">
        <v>1798</v>
      </c>
      <c r="E296">
        <f t="shared" si="20"/>
        <v>229</v>
      </c>
      <c r="F296">
        <f t="shared" si="21"/>
        <v>233</v>
      </c>
      <c r="G296">
        <f t="shared" si="22"/>
        <v>110</v>
      </c>
    </row>
    <row r="297" spans="1:7" x14ac:dyDescent="0.15">
      <c r="A297" t="str">
        <f t="shared" si="19"/>
        <v>387</v>
      </c>
      <c r="B297">
        <v>309</v>
      </c>
      <c r="C297" s="343" t="s">
        <v>1801</v>
      </c>
      <c r="D297" t="s">
        <v>1800</v>
      </c>
      <c r="E297">
        <f t="shared" si="20"/>
        <v>222</v>
      </c>
      <c r="F297">
        <f t="shared" si="21"/>
        <v>230</v>
      </c>
      <c r="G297">
        <f t="shared" si="22"/>
        <v>58</v>
      </c>
    </row>
    <row r="298" spans="1:7" x14ac:dyDescent="0.15">
      <c r="A298" t="str">
        <f t="shared" si="19"/>
        <v>388</v>
      </c>
      <c r="B298">
        <v>310</v>
      </c>
      <c r="C298" s="344" t="s">
        <v>1803</v>
      </c>
      <c r="D298" t="s">
        <v>1802</v>
      </c>
      <c r="E298">
        <f t="shared" si="20"/>
        <v>215</v>
      </c>
      <c r="F298">
        <f t="shared" si="21"/>
        <v>227</v>
      </c>
      <c r="G298">
        <f t="shared" si="22"/>
        <v>0</v>
      </c>
    </row>
    <row r="299" spans="1:7" x14ac:dyDescent="0.15">
      <c r="A299" t="str">
        <f t="shared" si="19"/>
        <v>389</v>
      </c>
      <c r="B299">
        <v>311</v>
      </c>
      <c r="C299" s="345" t="s">
        <v>1805</v>
      </c>
      <c r="D299" t="s">
        <v>1804</v>
      </c>
      <c r="E299">
        <f t="shared" si="20"/>
        <v>198</v>
      </c>
      <c r="F299">
        <f t="shared" si="21"/>
        <v>219</v>
      </c>
      <c r="G299">
        <f t="shared" si="22"/>
        <v>0</v>
      </c>
    </row>
    <row r="300" spans="1:7" x14ac:dyDescent="0.15">
      <c r="A300" t="str">
        <f t="shared" si="19"/>
        <v>390</v>
      </c>
      <c r="B300">
        <v>312</v>
      </c>
      <c r="C300" s="346" t="s">
        <v>1807</v>
      </c>
      <c r="D300" t="s">
        <v>1806</v>
      </c>
      <c r="E300">
        <f t="shared" si="20"/>
        <v>178</v>
      </c>
      <c r="F300">
        <f t="shared" si="21"/>
        <v>188</v>
      </c>
      <c r="G300">
        <f t="shared" si="22"/>
        <v>0</v>
      </c>
    </row>
    <row r="301" spans="1:7" x14ac:dyDescent="0.15">
      <c r="A301" t="str">
        <f t="shared" si="19"/>
        <v>391</v>
      </c>
      <c r="B301">
        <v>313</v>
      </c>
      <c r="C301" s="347" t="s">
        <v>1809</v>
      </c>
      <c r="D301" t="s">
        <v>1808</v>
      </c>
      <c r="E301">
        <f t="shared" si="20"/>
        <v>149</v>
      </c>
      <c r="F301">
        <f t="shared" si="21"/>
        <v>146</v>
      </c>
      <c r="G301">
        <f t="shared" si="22"/>
        <v>0</v>
      </c>
    </row>
    <row r="302" spans="1:7" x14ac:dyDescent="0.15">
      <c r="A302" t="str">
        <f t="shared" si="19"/>
        <v>392</v>
      </c>
      <c r="B302">
        <v>314</v>
      </c>
      <c r="C302" s="348" t="s">
        <v>1811</v>
      </c>
      <c r="D302" t="s">
        <v>1810</v>
      </c>
      <c r="E302">
        <f t="shared" si="20"/>
        <v>127</v>
      </c>
      <c r="F302">
        <f t="shared" si="21"/>
        <v>120</v>
      </c>
      <c r="G302">
        <f t="shared" si="22"/>
        <v>0</v>
      </c>
    </row>
    <row r="303" spans="1:7" x14ac:dyDescent="0.15">
      <c r="A303" t="str">
        <f t="shared" si="19"/>
        <v>393</v>
      </c>
      <c r="B303">
        <v>315</v>
      </c>
      <c r="C303" s="349" t="s">
        <v>1813</v>
      </c>
      <c r="D303" t="s">
        <v>1812</v>
      </c>
      <c r="E303">
        <f t="shared" si="20"/>
        <v>237</v>
      </c>
      <c r="F303">
        <f t="shared" si="21"/>
        <v>235</v>
      </c>
      <c r="G303">
        <f t="shared" si="22"/>
        <v>143</v>
      </c>
    </row>
    <row r="304" spans="1:7" x14ac:dyDescent="0.15">
      <c r="A304" t="str">
        <f t="shared" si="19"/>
        <v>394</v>
      </c>
      <c r="B304">
        <v>316</v>
      </c>
      <c r="C304" s="350" t="s">
        <v>1815</v>
      </c>
      <c r="D304" t="s">
        <v>1814</v>
      </c>
      <c r="E304">
        <f t="shared" si="20"/>
        <v>233</v>
      </c>
      <c r="F304">
        <f t="shared" si="21"/>
        <v>231</v>
      </c>
      <c r="G304">
        <f t="shared" si="22"/>
        <v>63</v>
      </c>
    </row>
    <row r="305" spans="1:7" x14ac:dyDescent="0.15">
      <c r="A305" t="str">
        <f t="shared" si="19"/>
        <v>395</v>
      </c>
      <c r="B305">
        <v>317</v>
      </c>
      <c r="C305" s="351" t="s">
        <v>1817</v>
      </c>
      <c r="D305" t="s">
        <v>1816</v>
      </c>
      <c r="E305">
        <f t="shared" si="20"/>
        <v>228</v>
      </c>
      <c r="F305">
        <f t="shared" si="21"/>
        <v>228</v>
      </c>
      <c r="G305">
        <f t="shared" si="22"/>
        <v>0</v>
      </c>
    </row>
    <row r="306" spans="1:7" x14ac:dyDescent="0.15">
      <c r="A306" t="str">
        <f t="shared" si="19"/>
        <v>396</v>
      </c>
      <c r="B306">
        <v>318</v>
      </c>
      <c r="C306" s="352" t="s">
        <v>1819</v>
      </c>
      <c r="D306" t="s">
        <v>1818</v>
      </c>
      <c r="E306">
        <f t="shared" si="20"/>
        <v>221</v>
      </c>
      <c r="F306">
        <f t="shared" si="21"/>
        <v>223</v>
      </c>
      <c r="G306">
        <f t="shared" si="22"/>
        <v>0</v>
      </c>
    </row>
    <row r="307" spans="1:7" x14ac:dyDescent="0.15">
      <c r="A307" t="str">
        <f t="shared" si="19"/>
        <v>397</v>
      </c>
      <c r="B307">
        <v>319</v>
      </c>
      <c r="C307" s="353" t="s">
        <v>1821</v>
      </c>
      <c r="D307" t="s">
        <v>1820</v>
      </c>
      <c r="E307">
        <f t="shared" si="20"/>
        <v>190</v>
      </c>
      <c r="F307">
        <f t="shared" si="21"/>
        <v>184</v>
      </c>
      <c r="G307">
        <f t="shared" si="22"/>
        <v>0</v>
      </c>
    </row>
    <row r="308" spans="1:7" x14ac:dyDescent="0.15">
      <c r="A308" t="str">
        <f t="shared" si="19"/>
        <v>398</v>
      </c>
      <c r="B308">
        <v>320</v>
      </c>
      <c r="C308" s="354" t="s">
        <v>1823</v>
      </c>
      <c r="D308" t="s">
        <v>1822</v>
      </c>
      <c r="E308">
        <f t="shared" si="20"/>
        <v>171</v>
      </c>
      <c r="F308">
        <f t="shared" si="21"/>
        <v>162</v>
      </c>
      <c r="G308">
        <f t="shared" si="22"/>
        <v>0</v>
      </c>
    </row>
    <row r="309" spans="1:7" x14ac:dyDescent="0.15">
      <c r="A309" t="str">
        <f t="shared" si="19"/>
        <v>399</v>
      </c>
      <c r="B309">
        <v>321</v>
      </c>
      <c r="C309" s="355" t="s">
        <v>1825</v>
      </c>
      <c r="D309" t="s">
        <v>1824</v>
      </c>
      <c r="E309">
        <f t="shared" si="20"/>
        <v>153</v>
      </c>
      <c r="F309">
        <f t="shared" si="21"/>
        <v>141</v>
      </c>
      <c r="G309">
        <f t="shared" si="22"/>
        <v>0</v>
      </c>
    </row>
    <row r="310" spans="1:7" x14ac:dyDescent="0.15">
      <c r="A310" t="str">
        <f t="shared" si="19"/>
        <v>400</v>
      </c>
      <c r="B310">
        <v>322</v>
      </c>
      <c r="C310" s="356" t="s">
        <v>1827</v>
      </c>
      <c r="D310" t="s">
        <v>1826</v>
      </c>
      <c r="E310">
        <f t="shared" si="20"/>
        <v>205</v>
      </c>
      <c r="F310">
        <f t="shared" si="21"/>
        <v>201</v>
      </c>
      <c r="G310">
        <f t="shared" si="22"/>
        <v>196</v>
      </c>
    </row>
    <row r="311" spans="1:7" x14ac:dyDescent="0.15">
      <c r="A311" t="str">
        <f t="shared" si="19"/>
        <v>401</v>
      </c>
      <c r="B311">
        <v>323</v>
      </c>
      <c r="C311" s="357" t="s">
        <v>1829</v>
      </c>
      <c r="D311" t="s">
        <v>1828</v>
      </c>
      <c r="E311">
        <f t="shared" si="20"/>
        <v>189</v>
      </c>
      <c r="F311">
        <f t="shared" si="21"/>
        <v>184</v>
      </c>
      <c r="G311">
        <f t="shared" si="22"/>
        <v>177</v>
      </c>
    </row>
    <row r="312" spans="1:7" x14ac:dyDescent="0.15">
      <c r="A312" t="str">
        <f t="shared" si="19"/>
        <v>402</v>
      </c>
      <c r="B312">
        <v>324</v>
      </c>
      <c r="C312" s="358" t="s">
        <v>1831</v>
      </c>
      <c r="D312" t="s">
        <v>1830</v>
      </c>
      <c r="E312">
        <f t="shared" si="20"/>
        <v>173</v>
      </c>
      <c r="F312">
        <f t="shared" si="21"/>
        <v>165</v>
      </c>
      <c r="G312">
        <f t="shared" si="22"/>
        <v>157</v>
      </c>
    </row>
    <row r="313" spans="1:7" x14ac:dyDescent="0.15">
      <c r="A313" t="str">
        <f t="shared" si="19"/>
        <v>403</v>
      </c>
      <c r="B313">
        <v>325</v>
      </c>
      <c r="C313" s="47" t="s">
        <v>1833</v>
      </c>
      <c r="D313" t="s">
        <v>1832</v>
      </c>
      <c r="E313">
        <f t="shared" si="20"/>
        <v>152</v>
      </c>
      <c r="F313">
        <f t="shared" si="21"/>
        <v>143</v>
      </c>
      <c r="G313">
        <f t="shared" si="22"/>
        <v>134</v>
      </c>
    </row>
    <row r="314" spans="1:7" x14ac:dyDescent="0.15">
      <c r="A314" t="str">
        <f t="shared" si="19"/>
        <v>404</v>
      </c>
      <c r="B314">
        <v>326</v>
      </c>
      <c r="C314" s="359" t="s">
        <v>1835</v>
      </c>
      <c r="D314" t="s">
        <v>1834</v>
      </c>
      <c r="E314">
        <f t="shared" si="20"/>
        <v>124</v>
      </c>
      <c r="F314">
        <f t="shared" si="21"/>
        <v>115</v>
      </c>
      <c r="G314">
        <f t="shared" si="22"/>
        <v>105</v>
      </c>
    </row>
    <row r="315" spans="1:7" x14ac:dyDescent="0.15">
      <c r="A315" t="str">
        <f t="shared" si="19"/>
        <v>405</v>
      </c>
      <c r="B315">
        <v>327</v>
      </c>
      <c r="C315" s="360" t="s">
        <v>1837</v>
      </c>
      <c r="D315" t="s">
        <v>1836</v>
      </c>
      <c r="E315">
        <f t="shared" si="20"/>
        <v>100</v>
      </c>
      <c r="F315">
        <f t="shared" si="21"/>
        <v>90</v>
      </c>
      <c r="G315">
        <f t="shared" si="22"/>
        <v>80</v>
      </c>
    </row>
    <row r="316" spans="1:7" x14ac:dyDescent="0.15">
      <c r="A316" t="str">
        <f t="shared" si="19"/>
        <v xml:space="preserve">Black </v>
      </c>
      <c r="B316">
        <v>328</v>
      </c>
      <c r="C316" s="361" t="s">
        <v>1839</v>
      </c>
      <c r="D316" t="s">
        <v>1838</v>
      </c>
      <c r="E316">
        <f t="shared" si="20"/>
        <v>61</v>
      </c>
      <c r="F316">
        <f t="shared" si="21"/>
        <v>51</v>
      </c>
      <c r="G316">
        <f t="shared" si="22"/>
        <v>43</v>
      </c>
    </row>
    <row r="317" spans="1:7" x14ac:dyDescent="0.15">
      <c r="A317" t="str">
        <f t="shared" si="19"/>
        <v>406</v>
      </c>
      <c r="B317">
        <v>330</v>
      </c>
      <c r="C317" s="362" t="s">
        <v>1841</v>
      </c>
      <c r="D317" t="s">
        <v>1840</v>
      </c>
      <c r="E317">
        <f t="shared" si="20"/>
        <v>202</v>
      </c>
      <c r="F317">
        <f t="shared" si="21"/>
        <v>196</v>
      </c>
      <c r="G317">
        <f t="shared" si="22"/>
        <v>194</v>
      </c>
    </row>
    <row r="318" spans="1:7" x14ac:dyDescent="0.15">
      <c r="A318" t="str">
        <f t="shared" si="19"/>
        <v>407</v>
      </c>
      <c r="B318">
        <v>331</v>
      </c>
      <c r="C318" s="363" t="s">
        <v>1843</v>
      </c>
      <c r="D318" t="s">
        <v>1842</v>
      </c>
      <c r="E318">
        <f t="shared" si="20"/>
        <v>181</v>
      </c>
      <c r="F318">
        <f t="shared" si="21"/>
        <v>172</v>
      </c>
      <c r="G318">
        <f t="shared" si="22"/>
        <v>166</v>
      </c>
    </row>
    <row r="319" spans="1:7" x14ac:dyDescent="0.15">
      <c r="A319" t="str">
        <f t="shared" si="19"/>
        <v>408</v>
      </c>
      <c r="B319">
        <v>332</v>
      </c>
      <c r="C319" s="364" t="s">
        <v>1845</v>
      </c>
      <c r="D319" t="s">
        <v>1844</v>
      </c>
      <c r="E319">
        <f t="shared" si="20"/>
        <v>165</v>
      </c>
      <c r="F319">
        <f t="shared" si="21"/>
        <v>153</v>
      </c>
      <c r="G319">
        <f t="shared" si="22"/>
        <v>151</v>
      </c>
    </row>
    <row r="320" spans="1:7" x14ac:dyDescent="0.15">
      <c r="A320" t="str">
        <f t="shared" si="19"/>
        <v>409</v>
      </c>
      <c r="B320">
        <v>333</v>
      </c>
      <c r="C320" s="365" t="s">
        <v>1847</v>
      </c>
      <c r="D320" t="s">
        <v>1846</v>
      </c>
      <c r="E320">
        <f t="shared" si="20"/>
        <v>148</v>
      </c>
      <c r="F320">
        <f t="shared" si="21"/>
        <v>134</v>
      </c>
      <c r="G320">
        <f t="shared" si="22"/>
        <v>131</v>
      </c>
    </row>
    <row r="321" spans="1:7" x14ac:dyDescent="0.15">
      <c r="A321" t="str">
        <f t="shared" si="19"/>
        <v>410</v>
      </c>
      <c r="B321">
        <v>334</v>
      </c>
      <c r="C321" s="366" t="s">
        <v>1849</v>
      </c>
      <c r="D321" t="s">
        <v>1848</v>
      </c>
      <c r="E321">
        <f t="shared" si="20"/>
        <v>123</v>
      </c>
      <c r="F321">
        <f t="shared" si="21"/>
        <v>110</v>
      </c>
      <c r="G321">
        <f t="shared" si="22"/>
        <v>106</v>
      </c>
    </row>
    <row r="322" spans="1:7" x14ac:dyDescent="0.15">
      <c r="A322" t="str">
        <f t="shared" si="19"/>
        <v>411</v>
      </c>
      <c r="B322">
        <v>335</v>
      </c>
      <c r="C322" s="367" t="s">
        <v>1851</v>
      </c>
      <c r="D322" t="s">
        <v>1850</v>
      </c>
      <c r="E322">
        <f t="shared" si="20"/>
        <v>98</v>
      </c>
      <c r="F322">
        <f t="shared" si="21"/>
        <v>82</v>
      </c>
      <c r="G322">
        <f t="shared" si="22"/>
        <v>78</v>
      </c>
    </row>
    <row r="323" spans="1:7" x14ac:dyDescent="0.15">
      <c r="A323" t="str">
        <f t="shared" ref="A323:A386" si="23">LEFT(D323,LEN(D323)-1)</f>
        <v>412</v>
      </c>
      <c r="B323">
        <v>336</v>
      </c>
      <c r="C323" s="368" t="s">
        <v>1853</v>
      </c>
      <c r="D323" t="s">
        <v>1852</v>
      </c>
      <c r="E323">
        <f t="shared" si="20"/>
        <v>55</v>
      </c>
      <c r="F323">
        <f t="shared" si="21"/>
        <v>43</v>
      </c>
      <c r="G323">
        <f t="shared" si="22"/>
        <v>39</v>
      </c>
    </row>
    <row r="324" spans="1:7" x14ac:dyDescent="0.15">
      <c r="A324" t="str">
        <f t="shared" si="23"/>
        <v>413</v>
      </c>
      <c r="B324">
        <v>337</v>
      </c>
      <c r="C324" s="369" t="s">
        <v>1855</v>
      </c>
      <c r="D324" t="s">
        <v>1854</v>
      </c>
      <c r="E324">
        <f t="shared" si="20"/>
        <v>200</v>
      </c>
      <c r="F324">
        <f t="shared" si="21"/>
        <v>201</v>
      </c>
      <c r="G324">
        <f t="shared" si="22"/>
        <v>195</v>
      </c>
    </row>
    <row r="325" spans="1:7" x14ac:dyDescent="0.15">
      <c r="A325" t="str">
        <f t="shared" si="23"/>
        <v>414</v>
      </c>
      <c r="B325">
        <v>338</v>
      </c>
      <c r="C325" s="370" t="s">
        <v>1857</v>
      </c>
      <c r="D325" t="s">
        <v>1856</v>
      </c>
      <c r="E325">
        <f t="shared" si="20"/>
        <v>181</v>
      </c>
      <c r="F325">
        <f t="shared" si="21"/>
        <v>182</v>
      </c>
      <c r="G325">
        <f t="shared" si="22"/>
        <v>176</v>
      </c>
    </row>
    <row r="326" spans="1:7" x14ac:dyDescent="0.15">
      <c r="A326" t="str">
        <f t="shared" si="23"/>
        <v>415</v>
      </c>
      <c r="B326">
        <v>339</v>
      </c>
      <c r="C326" s="371" t="s">
        <v>1859</v>
      </c>
      <c r="D326" t="s">
        <v>1858</v>
      </c>
      <c r="E326">
        <f t="shared" ref="E326:E389" si="24">HEX2DEC(MID(C326,2,2))</f>
        <v>157</v>
      </c>
      <c r="F326">
        <f t="shared" ref="F326:F389" si="25">HEX2DEC(MID(C326,4,2))</f>
        <v>157</v>
      </c>
      <c r="G326">
        <f t="shared" ref="G326:G389" si="26">HEX2DEC(MID(C326,6,2))</f>
        <v>150</v>
      </c>
    </row>
    <row r="327" spans="1:7" x14ac:dyDescent="0.15">
      <c r="A327" t="str">
        <f t="shared" si="23"/>
        <v>416</v>
      </c>
      <c r="B327">
        <v>340</v>
      </c>
      <c r="C327" s="372" t="s">
        <v>1861</v>
      </c>
      <c r="D327" t="s">
        <v>1860</v>
      </c>
      <c r="E327">
        <f t="shared" si="24"/>
        <v>135</v>
      </c>
      <c r="F327">
        <f t="shared" si="25"/>
        <v>136</v>
      </c>
      <c r="G327">
        <f t="shared" si="26"/>
        <v>127</v>
      </c>
    </row>
    <row r="328" spans="1:7" x14ac:dyDescent="0.15">
      <c r="A328" t="str">
        <f t="shared" si="23"/>
        <v>417</v>
      </c>
      <c r="B328">
        <v>341</v>
      </c>
      <c r="C328" s="373" t="s">
        <v>1863</v>
      </c>
      <c r="D328" t="s">
        <v>1862</v>
      </c>
      <c r="E328">
        <f t="shared" si="24"/>
        <v>110</v>
      </c>
      <c r="F328">
        <f t="shared" si="25"/>
        <v>111</v>
      </c>
      <c r="G328">
        <f t="shared" si="26"/>
        <v>100</v>
      </c>
    </row>
    <row r="329" spans="1:7" x14ac:dyDescent="0.15">
      <c r="A329" t="str">
        <f t="shared" si="23"/>
        <v>418</v>
      </c>
      <c r="B329">
        <v>342</v>
      </c>
      <c r="C329" s="374" t="s">
        <v>1865</v>
      </c>
      <c r="D329" t="s">
        <v>1864</v>
      </c>
      <c r="E329">
        <f t="shared" si="24"/>
        <v>90</v>
      </c>
      <c r="F329">
        <f t="shared" si="25"/>
        <v>91</v>
      </c>
      <c r="G329">
        <f t="shared" si="26"/>
        <v>81</v>
      </c>
    </row>
    <row r="330" spans="1:7" x14ac:dyDescent="0.15">
      <c r="A330" t="str">
        <f t="shared" si="23"/>
        <v>419</v>
      </c>
      <c r="B330">
        <v>343</v>
      </c>
      <c r="C330" s="375" t="s">
        <v>1867</v>
      </c>
      <c r="D330" t="s">
        <v>1866</v>
      </c>
      <c r="E330">
        <f t="shared" si="24"/>
        <v>31</v>
      </c>
      <c r="F330">
        <f t="shared" si="25"/>
        <v>33</v>
      </c>
      <c r="G330">
        <f t="shared" si="26"/>
        <v>28</v>
      </c>
    </row>
    <row r="331" spans="1:7" x14ac:dyDescent="0.15">
      <c r="A331" t="str">
        <f t="shared" si="23"/>
        <v>420</v>
      </c>
      <c r="B331">
        <v>344</v>
      </c>
      <c r="C331" s="43" t="s">
        <v>1869</v>
      </c>
      <c r="D331" t="s">
        <v>1868</v>
      </c>
      <c r="E331">
        <f t="shared" si="24"/>
        <v>204</v>
      </c>
      <c r="F331">
        <f t="shared" si="25"/>
        <v>204</v>
      </c>
      <c r="G331">
        <f t="shared" si="26"/>
        <v>204</v>
      </c>
    </row>
    <row r="332" spans="1:7" x14ac:dyDescent="0.15">
      <c r="A332" t="str">
        <f t="shared" si="23"/>
        <v>421</v>
      </c>
      <c r="B332">
        <v>345</v>
      </c>
      <c r="C332" s="376" t="s">
        <v>1871</v>
      </c>
      <c r="D332" t="s">
        <v>1870</v>
      </c>
      <c r="E332">
        <f t="shared" si="24"/>
        <v>186</v>
      </c>
      <c r="F332">
        <f t="shared" si="25"/>
        <v>187</v>
      </c>
      <c r="G332">
        <f t="shared" si="26"/>
        <v>188</v>
      </c>
    </row>
    <row r="333" spans="1:7" x14ac:dyDescent="0.15">
      <c r="A333" t="str">
        <f t="shared" si="23"/>
        <v>422</v>
      </c>
      <c r="B333">
        <v>346</v>
      </c>
      <c r="C333" s="377" t="s">
        <v>1873</v>
      </c>
      <c r="D333" t="s">
        <v>1872</v>
      </c>
      <c r="E333">
        <f t="shared" si="24"/>
        <v>169</v>
      </c>
      <c r="F333">
        <f t="shared" si="25"/>
        <v>170</v>
      </c>
      <c r="G333">
        <f t="shared" si="26"/>
        <v>171</v>
      </c>
    </row>
    <row r="334" spans="1:7" x14ac:dyDescent="0.15">
      <c r="A334" t="str">
        <f t="shared" si="23"/>
        <v>423</v>
      </c>
      <c r="B334">
        <v>347</v>
      </c>
      <c r="C334" s="378" t="s">
        <v>1875</v>
      </c>
      <c r="D334" t="s">
        <v>1874</v>
      </c>
      <c r="E334">
        <f t="shared" si="24"/>
        <v>147</v>
      </c>
      <c r="F334">
        <f t="shared" si="25"/>
        <v>148</v>
      </c>
      <c r="G334">
        <f t="shared" si="26"/>
        <v>149</v>
      </c>
    </row>
    <row r="335" spans="1:7" x14ac:dyDescent="0.15">
      <c r="A335" t="str">
        <f t="shared" si="23"/>
        <v>424</v>
      </c>
      <c r="B335">
        <v>348</v>
      </c>
      <c r="C335" s="379" t="s">
        <v>1877</v>
      </c>
      <c r="D335" t="s">
        <v>1876</v>
      </c>
      <c r="E335">
        <f t="shared" si="24"/>
        <v>118</v>
      </c>
      <c r="F335">
        <f t="shared" si="25"/>
        <v>122</v>
      </c>
      <c r="G335">
        <f t="shared" si="26"/>
        <v>125</v>
      </c>
    </row>
    <row r="336" spans="1:7" x14ac:dyDescent="0.15">
      <c r="A336" t="str">
        <f t="shared" si="23"/>
        <v>425</v>
      </c>
      <c r="B336">
        <v>349</v>
      </c>
      <c r="C336" s="380" t="s">
        <v>1879</v>
      </c>
      <c r="D336" t="s">
        <v>1878</v>
      </c>
      <c r="E336">
        <f t="shared" si="24"/>
        <v>86</v>
      </c>
      <c r="F336">
        <f t="shared" si="25"/>
        <v>89</v>
      </c>
      <c r="G336">
        <f t="shared" si="26"/>
        <v>92</v>
      </c>
    </row>
    <row r="337" spans="1:7" x14ac:dyDescent="0.15">
      <c r="A337" t="str">
        <f t="shared" si="23"/>
        <v>426</v>
      </c>
      <c r="B337">
        <v>350</v>
      </c>
      <c r="C337" s="381" t="s">
        <v>1881</v>
      </c>
      <c r="D337" t="s">
        <v>1880</v>
      </c>
      <c r="E337">
        <f t="shared" si="24"/>
        <v>33</v>
      </c>
      <c r="F337">
        <f t="shared" si="25"/>
        <v>36</v>
      </c>
      <c r="G337">
        <f t="shared" si="26"/>
        <v>36</v>
      </c>
    </row>
    <row r="338" spans="1:7" x14ac:dyDescent="0.15">
      <c r="A338" t="str">
        <f t="shared" si="23"/>
        <v>427</v>
      </c>
      <c r="B338">
        <v>352</v>
      </c>
      <c r="C338" s="382" t="s">
        <v>1883</v>
      </c>
      <c r="D338" t="s">
        <v>1882</v>
      </c>
      <c r="E338">
        <f t="shared" si="24"/>
        <v>210</v>
      </c>
      <c r="F338">
        <f t="shared" si="25"/>
        <v>214</v>
      </c>
      <c r="G338">
        <f t="shared" si="26"/>
        <v>217</v>
      </c>
    </row>
    <row r="339" spans="1:7" x14ac:dyDescent="0.15">
      <c r="A339" t="str">
        <f t="shared" si="23"/>
        <v>428</v>
      </c>
      <c r="B339">
        <v>353</v>
      </c>
      <c r="C339" s="383" t="s">
        <v>1885</v>
      </c>
      <c r="D339" t="s">
        <v>1884</v>
      </c>
      <c r="E339">
        <f t="shared" si="24"/>
        <v>195</v>
      </c>
      <c r="F339">
        <f t="shared" si="25"/>
        <v>200</v>
      </c>
      <c r="G339">
        <f t="shared" si="26"/>
        <v>205</v>
      </c>
    </row>
    <row r="340" spans="1:7" x14ac:dyDescent="0.15">
      <c r="A340" t="str">
        <f t="shared" si="23"/>
        <v>429</v>
      </c>
      <c r="B340">
        <v>354</v>
      </c>
      <c r="C340" s="384" t="s">
        <v>1887</v>
      </c>
      <c r="D340" t="s">
        <v>1886</v>
      </c>
      <c r="E340">
        <f t="shared" si="24"/>
        <v>168</v>
      </c>
      <c r="F340">
        <f t="shared" si="25"/>
        <v>173</v>
      </c>
      <c r="G340">
        <f t="shared" si="26"/>
        <v>180</v>
      </c>
    </row>
    <row r="341" spans="1:7" x14ac:dyDescent="0.15">
      <c r="A341" t="str">
        <f t="shared" si="23"/>
        <v>430</v>
      </c>
      <c r="B341">
        <v>355</v>
      </c>
      <c r="C341" s="46" t="s">
        <v>1889</v>
      </c>
      <c r="D341" t="s">
        <v>1888</v>
      </c>
      <c r="E341">
        <f t="shared" si="24"/>
        <v>134</v>
      </c>
      <c r="F341">
        <f t="shared" si="25"/>
        <v>143</v>
      </c>
      <c r="G341">
        <f t="shared" si="26"/>
        <v>152</v>
      </c>
    </row>
    <row r="342" spans="1:7" x14ac:dyDescent="0.15">
      <c r="A342" t="str">
        <f t="shared" si="23"/>
        <v>431</v>
      </c>
      <c r="B342">
        <v>356</v>
      </c>
      <c r="C342" s="385" t="s">
        <v>1891</v>
      </c>
      <c r="D342" t="s">
        <v>1890</v>
      </c>
      <c r="E342">
        <f t="shared" si="24"/>
        <v>97</v>
      </c>
      <c r="F342">
        <f t="shared" si="25"/>
        <v>106</v>
      </c>
      <c r="G342">
        <f t="shared" si="26"/>
        <v>116</v>
      </c>
    </row>
    <row r="343" spans="1:7" x14ac:dyDescent="0.15">
      <c r="A343" t="str">
        <f t="shared" si="23"/>
        <v>432</v>
      </c>
      <c r="B343">
        <v>357</v>
      </c>
      <c r="C343" s="386" t="s">
        <v>1893</v>
      </c>
      <c r="D343" t="s">
        <v>1892</v>
      </c>
      <c r="E343">
        <f t="shared" si="24"/>
        <v>65</v>
      </c>
      <c r="F343">
        <f t="shared" si="25"/>
        <v>75</v>
      </c>
      <c r="G343">
        <f t="shared" si="26"/>
        <v>86</v>
      </c>
    </row>
    <row r="344" spans="1:7" x14ac:dyDescent="0.15">
      <c r="A344" t="str">
        <f t="shared" si="23"/>
        <v>433</v>
      </c>
      <c r="B344">
        <v>358</v>
      </c>
      <c r="C344" s="387" t="s">
        <v>1895</v>
      </c>
      <c r="D344" t="s">
        <v>1894</v>
      </c>
      <c r="E344">
        <f t="shared" si="24"/>
        <v>33</v>
      </c>
      <c r="F344">
        <f t="shared" si="25"/>
        <v>41</v>
      </c>
      <c r="G344">
        <f t="shared" si="26"/>
        <v>48</v>
      </c>
    </row>
    <row r="345" spans="1:7" x14ac:dyDescent="0.15">
      <c r="A345" t="str">
        <f t="shared" si="23"/>
        <v>434</v>
      </c>
      <c r="B345">
        <v>359</v>
      </c>
      <c r="C345" s="388" t="s">
        <v>1897</v>
      </c>
      <c r="D345" t="s">
        <v>1896</v>
      </c>
      <c r="E345">
        <f t="shared" si="24"/>
        <v>211</v>
      </c>
      <c r="F345">
        <f t="shared" si="25"/>
        <v>201</v>
      </c>
      <c r="G345">
        <f t="shared" si="26"/>
        <v>206</v>
      </c>
    </row>
    <row r="346" spans="1:7" x14ac:dyDescent="0.15">
      <c r="A346" t="str">
        <f t="shared" si="23"/>
        <v>435</v>
      </c>
      <c r="B346">
        <v>360</v>
      </c>
      <c r="C346" s="389" t="s">
        <v>1899</v>
      </c>
      <c r="D346" t="s">
        <v>1898</v>
      </c>
      <c r="E346">
        <f t="shared" si="24"/>
        <v>200</v>
      </c>
      <c r="F346">
        <f t="shared" si="25"/>
        <v>186</v>
      </c>
      <c r="G346">
        <f t="shared" si="26"/>
        <v>192</v>
      </c>
    </row>
    <row r="347" spans="1:7" x14ac:dyDescent="0.15">
      <c r="A347" t="str">
        <f t="shared" si="23"/>
        <v>436</v>
      </c>
      <c r="B347">
        <v>361</v>
      </c>
      <c r="C347" s="390" t="s">
        <v>1901</v>
      </c>
      <c r="D347" t="s">
        <v>1900</v>
      </c>
      <c r="E347">
        <f t="shared" si="24"/>
        <v>183</v>
      </c>
      <c r="F347">
        <f t="shared" si="25"/>
        <v>166</v>
      </c>
      <c r="G347">
        <f t="shared" si="26"/>
        <v>173</v>
      </c>
    </row>
    <row r="348" spans="1:7" x14ac:dyDescent="0.15">
      <c r="A348" t="str">
        <f t="shared" si="23"/>
        <v>437</v>
      </c>
      <c r="B348">
        <v>362</v>
      </c>
      <c r="C348" s="391" t="s">
        <v>1903</v>
      </c>
      <c r="D348" t="s">
        <v>1902</v>
      </c>
      <c r="E348">
        <f t="shared" si="24"/>
        <v>132</v>
      </c>
      <c r="F348">
        <f t="shared" si="25"/>
        <v>110</v>
      </c>
      <c r="G348">
        <f t="shared" si="26"/>
        <v>116</v>
      </c>
    </row>
    <row r="349" spans="1:7" x14ac:dyDescent="0.15">
      <c r="A349" t="str">
        <f t="shared" si="23"/>
        <v>438</v>
      </c>
      <c r="B349">
        <v>363</v>
      </c>
      <c r="C349" s="392" t="s">
        <v>1905</v>
      </c>
      <c r="D349" t="s">
        <v>1904</v>
      </c>
      <c r="E349">
        <f t="shared" si="24"/>
        <v>81</v>
      </c>
      <c r="F349">
        <f t="shared" si="25"/>
        <v>62</v>
      </c>
      <c r="G349">
        <f t="shared" si="26"/>
        <v>62</v>
      </c>
    </row>
    <row r="350" spans="1:7" x14ac:dyDescent="0.15">
      <c r="A350" t="str">
        <f t="shared" si="23"/>
        <v>439</v>
      </c>
      <c r="B350">
        <v>364</v>
      </c>
      <c r="C350" s="393" t="s">
        <v>1907</v>
      </c>
      <c r="D350" t="s">
        <v>1906</v>
      </c>
      <c r="E350">
        <f t="shared" si="24"/>
        <v>68</v>
      </c>
      <c r="F350">
        <f t="shared" si="25"/>
        <v>53</v>
      </c>
      <c r="G350">
        <f t="shared" si="26"/>
        <v>53</v>
      </c>
    </row>
    <row r="351" spans="1:7" x14ac:dyDescent="0.15">
      <c r="A351" t="str">
        <f t="shared" si="23"/>
        <v>440</v>
      </c>
      <c r="B351">
        <v>365</v>
      </c>
      <c r="C351" s="394" t="s">
        <v>1909</v>
      </c>
      <c r="D351" t="s">
        <v>1908</v>
      </c>
      <c r="E351">
        <f t="shared" si="24"/>
        <v>57</v>
      </c>
      <c r="F351">
        <f t="shared" si="25"/>
        <v>46</v>
      </c>
      <c r="G351">
        <f t="shared" si="26"/>
        <v>44</v>
      </c>
    </row>
    <row r="352" spans="1:7" x14ac:dyDescent="0.15">
      <c r="A352" t="str">
        <f t="shared" si="23"/>
        <v>441</v>
      </c>
      <c r="B352">
        <v>366</v>
      </c>
      <c r="C352" s="395" t="s">
        <v>1911</v>
      </c>
      <c r="D352" t="s">
        <v>1910</v>
      </c>
      <c r="E352">
        <f t="shared" si="24"/>
        <v>203</v>
      </c>
      <c r="F352">
        <f t="shared" si="25"/>
        <v>209</v>
      </c>
      <c r="G352">
        <f t="shared" si="26"/>
        <v>212</v>
      </c>
    </row>
    <row r="353" spans="1:7" x14ac:dyDescent="0.15">
      <c r="A353" t="str">
        <f t="shared" si="23"/>
        <v>442</v>
      </c>
      <c r="B353">
        <v>367</v>
      </c>
      <c r="C353" s="396" t="s">
        <v>1913</v>
      </c>
      <c r="D353" t="s">
        <v>1912</v>
      </c>
      <c r="E353">
        <f t="shared" si="24"/>
        <v>179</v>
      </c>
      <c r="F353">
        <f t="shared" si="25"/>
        <v>188</v>
      </c>
      <c r="G353">
        <f t="shared" si="26"/>
        <v>192</v>
      </c>
    </row>
    <row r="354" spans="1:7" x14ac:dyDescent="0.15">
      <c r="A354" t="str">
        <f t="shared" si="23"/>
        <v>443</v>
      </c>
      <c r="B354">
        <v>368</v>
      </c>
      <c r="C354" s="397" t="s">
        <v>1915</v>
      </c>
      <c r="D354" t="s">
        <v>1914</v>
      </c>
      <c r="E354">
        <f t="shared" si="24"/>
        <v>153</v>
      </c>
      <c r="F354">
        <f t="shared" si="25"/>
        <v>163</v>
      </c>
      <c r="G354">
        <f t="shared" si="26"/>
        <v>166</v>
      </c>
    </row>
    <row r="355" spans="1:7" x14ac:dyDescent="0.15">
      <c r="A355" t="str">
        <f t="shared" si="23"/>
        <v>444</v>
      </c>
      <c r="B355">
        <v>369</v>
      </c>
      <c r="C355" s="398" t="s">
        <v>1917</v>
      </c>
      <c r="D355" t="s">
        <v>1916</v>
      </c>
      <c r="E355">
        <f t="shared" si="24"/>
        <v>123</v>
      </c>
      <c r="F355">
        <f t="shared" si="25"/>
        <v>133</v>
      </c>
      <c r="G355">
        <f t="shared" si="26"/>
        <v>138</v>
      </c>
    </row>
    <row r="356" spans="1:7" x14ac:dyDescent="0.15">
      <c r="A356" t="str">
        <f t="shared" si="23"/>
        <v>445</v>
      </c>
      <c r="B356">
        <v>370</v>
      </c>
      <c r="C356" s="399" t="s">
        <v>1919</v>
      </c>
      <c r="D356" t="s">
        <v>1918</v>
      </c>
      <c r="E356">
        <f t="shared" si="24"/>
        <v>79</v>
      </c>
      <c r="F356">
        <f t="shared" si="25"/>
        <v>85</v>
      </c>
      <c r="G356">
        <f t="shared" si="26"/>
        <v>89</v>
      </c>
    </row>
    <row r="357" spans="1:7" x14ac:dyDescent="0.15">
      <c r="A357" t="str">
        <f t="shared" si="23"/>
        <v>446</v>
      </c>
      <c r="B357">
        <v>371</v>
      </c>
      <c r="C357" s="400" t="s">
        <v>1921</v>
      </c>
      <c r="D357" t="s">
        <v>1920</v>
      </c>
      <c r="E357">
        <f t="shared" si="24"/>
        <v>61</v>
      </c>
      <c r="F357">
        <f t="shared" si="25"/>
        <v>66</v>
      </c>
      <c r="G357">
        <f t="shared" si="26"/>
        <v>66</v>
      </c>
    </row>
    <row r="358" spans="1:7" x14ac:dyDescent="0.15">
      <c r="A358" t="str">
        <f t="shared" si="23"/>
        <v>447</v>
      </c>
      <c r="B358">
        <v>372</v>
      </c>
      <c r="C358" s="48" t="s">
        <v>1923</v>
      </c>
      <c r="D358" t="s">
        <v>1922</v>
      </c>
      <c r="E358">
        <f t="shared" si="24"/>
        <v>50</v>
      </c>
      <c r="F358">
        <f t="shared" si="25"/>
        <v>53</v>
      </c>
      <c r="G358">
        <f t="shared" si="26"/>
        <v>50</v>
      </c>
    </row>
    <row r="359" spans="1:7" x14ac:dyDescent="0.15">
      <c r="A359" t="str">
        <f t="shared" si="23"/>
        <v>448</v>
      </c>
      <c r="B359">
        <v>374</v>
      </c>
      <c r="C359" s="401" t="s">
        <v>1925</v>
      </c>
      <c r="D359" t="s">
        <v>1924</v>
      </c>
      <c r="E359">
        <f t="shared" si="24"/>
        <v>71</v>
      </c>
      <c r="F359">
        <f t="shared" si="25"/>
        <v>62</v>
      </c>
      <c r="G359">
        <f t="shared" si="26"/>
        <v>38</v>
      </c>
    </row>
    <row r="360" spans="1:7" x14ac:dyDescent="0.15">
      <c r="A360" t="str">
        <f t="shared" si="23"/>
        <v>449</v>
      </c>
      <c r="B360">
        <v>375</v>
      </c>
      <c r="C360" s="402" t="s">
        <v>1927</v>
      </c>
      <c r="D360" t="s">
        <v>1926</v>
      </c>
      <c r="E360">
        <f t="shared" si="24"/>
        <v>77</v>
      </c>
      <c r="F360">
        <f t="shared" si="25"/>
        <v>67</v>
      </c>
      <c r="G360">
        <f t="shared" si="26"/>
        <v>37</v>
      </c>
    </row>
    <row r="361" spans="1:7" x14ac:dyDescent="0.15">
      <c r="A361" t="str">
        <f t="shared" si="23"/>
        <v>450</v>
      </c>
      <c r="B361">
        <v>376</v>
      </c>
      <c r="C361" s="403" t="s">
        <v>1929</v>
      </c>
      <c r="D361" t="s">
        <v>1928</v>
      </c>
      <c r="E361">
        <f t="shared" si="24"/>
        <v>81</v>
      </c>
      <c r="F361">
        <f t="shared" si="25"/>
        <v>72</v>
      </c>
      <c r="G361">
        <f t="shared" si="26"/>
        <v>38</v>
      </c>
    </row>
    <row r="362" spans="1:7" x14ac:dyDescent="0.15">
      <c r="A362" t="str">
        <f t="shared" si="23"/>
        <v>451</v>
      </c>
      <c r="B362">
        <v>377</v>
      </c>
      <c r="C362" s="404" t="s">
        <v>1931</v>
      </c>
      <c r="D362" t="s">
        <v>1930</v>
      </c>
      <c r="E362">
        <f t="shared" si="24"/>
        <v>159</v>
      </c>
      <c r="F362">
        <f t="shared" si="25"/>
        <v>155</v>
      </c>
      <c r="G362">
        <f t="shared" si="26"/>
        <v>116</v>
      </c>
    </row>
    <row r="363" spans="1:7" x14ac:dyDescent="0.15">
      <c r="A363" t="str">
        <f t="shared" si="23"/>
        <v>452</v>
      </c>
      <c r="B363">
        <v>378</v>
      </c>
      <c r="C363" s="405" t="s">
        <v>1933</v>
      </c>
      <c r="D363" t="s">
        <v>1932</v>
      </c>
      <c r="E363">
        <f t="shared" si="24"/>
        <v>181</v>
      </c>
      <c r="F363">
        <f t="shared" si="25"/>
        <v>178</v>
      </c>
      <c r="G363">
        <f t="shared" si="26"/>
        <v>146</v>
      </c>
    </row>
    <row r="364" spans="1:7" x14ac:dyDescent="0.15">
      <c r="A364" t="str">
        <f t="shared" si="23"/>
        <v>453</v>
      </c>
      <c r="B364">
        <v>379</v>
      </c>
      <c r="C364" s="406" t="s">
        <v>1935</v>
      </c>
      <c r="D364" t="s">
        <v>1934</v>
      </c>
      <c r="E364">
        <f t="shared" si="24"/>
        <v>200</v>
      </c>
      <c r="F364">
        <f t="shared" si="25"/>
        <v>197</v>
      </c>
      <c r="G364">
        <f t="shared" si="26"/>
        <v>172</v>
      </c>
    </row>
    <row r="365" spans="1:7" x14ac:dyDescent="0.15">
      <c r="A365" t="str">
        <f t="shared" si="23"/>
        <v>454</v>
      </c>
      <c r="B365">
        <v>380</v>
      </c>
      <c r="C365" s="407" t="s">
        <v>1937</v>
      </c>
      <c r="D365" t="s">
        <v>1936</v>
      </c>
      <c r="E365">
        <f t="shared" si="24"/>
        <v>213</v>
      </c>
      <c r="F365">
        <f t="shared" si="25"/>
        <v>211</v>
      </c>
      <c r="G365">
        <f t="shared" si="26"/>
        <v>191</v>
      </c>
    </row>
    <row r="366" spans="1:7" x14ac:dyDescent="0.15">
      <c r="A366" t="str">
        <f t="shared" si="23"/>
        <v>455</v>
      </c>
      <c r="B366">
        <v>381</v>
      </c>
      <c r="C366" s="408" t="s">
        <v>1939</v>
      </c>
      <c r="D366" t="s">
        <v>1938</v>
      </c>
      <c r="E366">
        <f t="shared" si="24"/>
        <v>101</v>
      </c>
      <c r="F366">
        <f t="shared" si="25"/>
        <v>84</v>
      </c>
      <c r="G366">
        <f t="shared" si="26"/>
        <v>21</v>
      </c>
    </row>
    <row r="367" spans="1:7" x14ac:dyDescent="0.15">
      <c r="A367" t="str">
        <f t="shared" si="23"/>
        <v>456</v>
      </c>
      <c r="B367">
        <v>382</v>
      </c>
      <c r="C367" s="409" t="s">
        <v>1941</v>
      </c>
      <c r="D367" t="s">
        <v>1940</v>
      </c>
      <c r="E367">
        <f t="shared" si="24"/>
        <v>151</v>
      </c>
      <c r="F367">
        <f t="shared" si="25"/>
        <v>127</v>
      </c>
      <c r="G367">
        <f t="shared" si="26"/>
        <v>9</v>
      </c>
    </row>
    <row r="368" spans="1:7" x14ac:dyDescent="0.15">
      <c r="A368" t="str">
        <f t="shared" si="23"/>
        <v>457</v>
      </c>
      <c r="B368">
        <v>383</v>
      </c>
      <c r="C368" s="410" t="s">
        <v>1943</v>
      </c>
      <c r="D368" t="s">
        <v>1942</v>
      </c>
      <c r="E368">
        <f t="shared" si="24"/>
        <v>178</v>
      </c>
      <c r="F368">
        <f t="shared" si="25"/>
        <v>146</v>
      </c>
      <c r="G368">
        <f t="shared" si="26"/>
        <v>0</v>
      </c>
    </row>
    <row r="369" spans="1:7" x14ac:dyDescent="0.15">
      <c r="A369" t="str">
        <f t="shared" si="23"/>
        <v>458</v>
      </c>
      <c r="B369">
        <v>384</v>
      </c>
      <c r="C369" s="411" t="s">
        <v>1945</v>
      </c>
      <c r="D369" t="s">
        <v>1944</v>
      </c>
      <c r="E369">
        <f t="shared" si="24"/>
        <v>219</v>
      </c>
      <c r="F369">
        <f t="shared" si="25"/>
        <v>202</v>
      </c>
      <c r="G369">
        <f t="shared" si="26"/>
        <v>103</v>
      </c>
    </row>
    <row r="370" spans="1:7" x14ac:dyDescent="0.15">
      <c r="A370" t="str">
        <f t="shared" si="23"/>
        <v>459</v>
      </c>
      <c r="B370">
        <v>385</v>
      </c>
      <c r="C370" s="412" t="s">
        <v>1947</v>
      </c>
      <c r="D370" t="s">
        <v>1946</v>
      </c>
      <c r="E370">
        <f t="shared" si="24"/>
        <v>223</v>
      </c>
      <c r="F370">
        <f t="shared" si="25"/>
        <v>210</v>
      </c>
      <c r="G370">
        <f t="shared" si="26"/>
        <v>124</v>
      </c>
    </row>
    <row r="371" spans="1:7" x14ac:dyDescent="0.15">
      <c r="A371" t="str">
        <f t="shared" si="23"/>
        <v>460</v>
      </c>
      <c r="B371">
        <v>386</v>
      </c>
      <c r="C371" s="413" t="s">
        <v>1949</v>
      </c>
      <c r="D371" t="s">
        <v>1948</v>
      </c>
      <c r="E371">
        <f t="shared" si="24"/>
        <v>229</v>
      </c>
      <c r="F371">
        <f t="shared" si="25"/>
        <v>219</v>
      </c>
      <c r="G371">
        <f t="shared" si="26"/>
        <v>151</v>
      </c>
    </row>
    <row r="372" spans="1:7" x14ac:dyDescent="0.15">
      <c r="A372" t="str">
        <f t="shared" si="23"/>
        <v>461</v>
      </c>
      <c r="B372">
        <v>387</v>
      </c>
      <c r="C372" s="414" t="s">
        <v>1951</v>
      </c>
      <c r="D372" t="s">
        <v>1950</v>
      </c>
      <c r="E372">
        <f t="shared" si="24"/>
        <v>231</v>
      </c>
      <c r="F372">
        <f t="shared" si="25"/>
        <v>227</v>
      </c>
      <c r="G372">
        <f t="shared" si="26"/>
        <v>181</v>
      </c>
    </row>
    <row r="373" spans="1:7" x14ac:dyDescent="0.15">
      <c r="A373" t="str">
        <f t="shared" si="23"/>
        <v>462</v>
      </c>
      <c r="B373">
        <v>388</v>
      </c>
      <c r="C373" s="415" t="s">
        <v>1953</v>
      </c>
      <c r="D373" t="s">
        <v>1952</v>
      </c>
      <c r="E373">
        <f t="shared" si="24"/>
        <v>86</v>
      </c>
      <c r="F373">
        <f t="shared" si="25"/>
        <v>63</v>
      </c>
      <c r="G373">
        <f t="shared" si="26"/>
        <v>35</v>
      </c>
    </row>
    <row r="374" spans="1:7" x14ac:dyDescent="0.15">
      <c r="A374" t="str">
        <f t="shared" si="23"/>
        <v>463</v>
      </c>
      <c r="B374">
        <v>389</v>
      </c>
      <c r="C374" s="416" t="s">
        <v>1955</v>
      </c>
      <c r="D374" t="s">
        <v>1954</v>
      </c>
      <c r="E374">
        <f t="shared" si="24"/>
        <v>109</v>
      </c>
      <c r="F374">
        <f t="shared" si="25"/>
        <v>73</v>
      </c>
      <c r="G374">
        <f t="shared" si="26"/>
        <v>33</v>
      </c>
    </row>
    <row r="375" spans="1:7" x14ac:dyDescent="0.15">
      <c r="A375" t="str">
        <f t="shared" si="23"/>
        <v>464</v>
      </c>
      <c r="B375">
        <v>390</v>
      </c>
      <c r="C375" s="417" t="s">
        <v>1957</v>
      </c>
      <c r="D375" t="s">
        <v>1956</v>
      </c>
      <c r="E375">
        <f t="shared" si="24"/>
        <v>133</v>
      </c>
      <c r="F375">
        <f t="shared" si="25"/>
        <v>87</v>
      </c>
      <c r="G375">
        <f t="shared" si="26"/>
        <v>35</v>
      </c>
    </row>
    <row r="376" spans="1:7" x14ac:dyDescent="0.15">
      <c r="A376" t="str">
        <f t="shared" si="23"/>
        <v>465</v>
      </c>
      <c r="B376">
        <v>391</v>
      </c>
      <c r="C376" s="418" t="s">
        <v>1959</v>
      </c>
      <c r="D376" t="s">
        <v>1958</v>
      </c>
      <c r="E376">
        <f t="shared" si="24"/>
        <v>185</v>
      </c>
      <c r="F376">
        <f t="shared" si="25"/>
        <v>156</v>
      </c>
      <c r="G376">
        <f t="shared" si="26"/>
        <v>107</v>
      </c>
    </row>
    <row r="377" spans="1:7" x14ac:dyDescent="0.15">
      <c r="A377" t="str">
        <f t="shared" si="23"/>
        <v>466</v>
      </c>
      <c r="B377">
        <v>392</v>
      </c>
      <c r="C377" s="419" t="s">
        <v>1961</v>
      </c>
      <c r="D377" t="s">
        <v>1960</v>
      </c>
      <c r="E377">
        <f t="shared" si="24"/>
        <v>202</v>
      </c>
      <c r="F377">
        <f t="shared" si="25"/>
        <v>179</v>
      </c>
      <c r="G377">
        <f t="shared" si="26"/>
        <v>136</v>
      </c>
    </row>
    <row r="378" spans="1:7" x14ac:dyDescent="0.15">
      <c r="A378" t="str">
        <f t="shared" si="23"/>
        <v>467</v>
      </c>
      <c r="B378">
        <v>393</v>
      </c>
      <c r="C378" s="420" t="s">
        <v>1963</v>
      </c>
      <c r="D378" t="s">
        <v>1962</v>
      </c>
      <c r="E378">
        <f t="shared" si="24"/>
        <v>213</v>
      </c>
      <c r="F378">
        <f t="shared" si="25"/>
        <v>196</v>
      </c>
      <c r="G378">
        <f t="shared" si="26"/>
        <v>161</v>
      </c>
    </row>
    <row r="379" spans="1:7" x14ac:dyDescent="0.15">
      <c r="A379" t="str">
        <f t="shared" si="23"/>
        <v>468</v>
      </c>
      <c r="B379">
        <v>394</v>
      </c>
      <c r="C379" s="421" t="s">
        <v>1965</v>
      </c>
      <c r="D379" t="s">
        <v>1964</v>
      </c>
      <c r="E379">
        <f t="shared" si="24"/>
        <v>224</v>
      </c>
      <c r="F379">
        <f t="shared" si="25"/>
        <v>212</v>
      </c>
      <c r="G379">
        <f t="shared" si="26"/>
        <v>187</v>
      </c>
    </row>
    <row r="380" spans="1:7" x14ac:dyDescent="0.15">
      <c r="A380" t="str">
        <f t="shared" si="23"/>
        <v>469</v>
      </c>
      <c r="B380">
        <v>396</v>
      </c>
      <c r="C380" s="422" t="s">
        <v>1967</v>
      </c>
      <c r="D380" t="s">
        <v>1966</v>
      </c>
      <c r="E380">
        <f t="shared" si="24"/>
        <v>97</v>
      </c>
      <c r="F380">
        <f t="shared" si="25"/>
        <v>52</v>
      </c>
      <c r="G380">
        <f t="shared" si="26"/>
        <v>24</v>
      </c>
    </row>
    <row r="381" spans="1:7" x14ac:dyDescent="0.15">
      <c r="A381" t="str">
        <f t="shared" si="23"/>
        <v>470</v>
      </c>
      <c r="B381">
        <v>397</v>
      </c>
      <c r="C381" s="423" t="s">
        <v>1969</v>
      </c>
      <c r="D381" t="s">
        <v>1968</v>
      </c>
      <c r="E381">
        <f t="shared" si="24"/>
        <v>155</v>
      </c>
      <c r="F381">
        <f t="shared" si="25"/>
        <v>77</v>
      </c>
      <c r="G381">
        <f t="shared" si="26"/>
        <v>27</v>
      </c>
    </row>
    <row r="382" spans="1:7" x14ac:dyDescent="0.15">
      <c r="A382" t="str">
        <f t="shared" si="23"/>
        <v>471</v>
      </c>
      <c r="B382">
        <v>398</v>
      </c>
      <c r="C382" s="424" t="s">
        <v>1971</v>
      </c>
      <c r="D382" t="s">
        <v>1970</v>
      </c>
      <c r="E382">
        <f t="shared" si="24"/>
        <v>183</v>
      </c>
      <c r="F382">
        <f t="shared" si="25"/>
        <v>83</v>
      </c>
      <c r="G382">
        <f t="shared" si="26"/>
        <v>18</v>
      </c>
    </row>
    <row r="383" spans="1:7" x14ac:dyDescent="0.15">
      <c r="A383" t="str">
        <f t="shared" si="23"/>
        <v>472</v>
      </c>
      <c r="B383">
        <v>399</v>
      </c>
      <c r="C383" s="425" t="s">
        <v>1973</v>
      </c>
      <c r="D383" t="s">
        <v>1972</v>
      </c>
      <c r="E383">
        <f t="shared" si="24"/>
        <v>228</v>
      </c>
      <c r="F383">
        <f t="shared" si="25"/>
        <v>153</v>
      </c>
      <c r="G383">
        <f t="shared" si="26"/>
        <v>105</v>
      </c>
    </row>
    <row r="384" spans="1:7" x14ac:dyDescent="0.15">
      <c r="A384" t="str">
        <f t="shared" si="23"/>
        <v>473</v>
      </c>
      <c r="B384">
        <v>400</v>
      </c>
      <c r="C384" s="426" t="s">
        <v>1975</v>
      </c>
      <c r="D384" t="s">
        <v>1974</v>
      </c>
      <c r="E384">
        <f t="shared" si="24"/>
        <v>237</v>
      </c>
      <c r="F384">
        <f t="shared" si="25"/>
        <v>185</v>
      </c>
      <c r="G384">
        <f t="shared" si="26"/>
        <v>150</v>
      </c>
    </row>
    <row r="385" spans="1:7" x14ac:dyDescent="0.15">
      <c r="A385" t="str">
        <f t="shared" si="23"/>
        <v>474</v>
      </c>
      <c r="B385">
        <v>401</v>
      </c>
      <c r="C385" s="427" t="s">
        <v>1977</v>
      </c>
      <c r="D385" t="s">
        <v>1976</v>
      </c>
      <c r="E385">
        <f t="shared" si="24"/>
        <v>238</v>
      </c>
      <c r="F385">
        <f t="shared" si="25"/>
        <v>197</v>
      </c>
      <c r="G385">
        <f t="shared" si="26"/>
        <v>169</v>
      </c>
    </row>
    <row r="386" spans="1:7" x14ac:dyDescent="0.15">
      <c r="A386" t="str">
        <f t="shared" si="23"/>
        <v>475</v>
      </c>
      <c r="B386">
        <v>402</v>
      </c>
      <c r="C386" s="428" t="s">
        <v>1979</v>
      </c>
      <c r="D386" t="s">
        <v>1978</v>
      </c>
      <c r="E386">
        <f t="shared" si="24"/>
        <v>240</v>
      </c>
      <c r="F386">
        <f t="shared" si="25"/>
        <v>208</v>
      </c>
      <c r="G386">
        <f t="shared" si="26"/>
        <v>187</v>
      </c>
    </row>
    <row r="387" spans="1:7" x14ac:dyDescent="0.15">
      <c r="A387" t="str">
        <f t="shared" ref="A387:A450" si="27">LEFT(D387,LEN(D387)-1)</f>
        <v>476</v>
      </c>
      <c r="B387">
        <v>403</v>
      </c>
      <c r="C387" s="429" t="s">
        <v>1981</v>
      </c>
      <c r="D387" t="s">
        <v>1980</v>
      </c>
      <c r="E387">
        <f t="shared" si="24"/>
        <v>81</v>
      </c>
      <c r="F387">
        <f t="shared" si="25"/>
        <v>49</v>
      </c>
      <c r="G387">
        <f t="shared" si="26"/>
        <v>39</v>
      </c>
    </row>
    <row r="388" spans="1:7" x14ac:dyDescent="0.15">
      <c r="A388" t="str">
        <f t="shared" si="27"/>
        <v>477</v>
      </c>
      <c r="B388">
        <v>404</v>
      </c>
      <c r="C388" s="430" t="s">
        <v>1983</v>
      </c>
      <c r="D388" t="s">
        <v>1982</v>
      </c>
      <c r="E388">
        <f t="shared" si="24"/>
        <v>94</v>
      </c>
      <c r="F388">
        <f t="shared" si="25"/>
        <v>47</v>
      </c>
      <c r="G388">
        <f t="shared" si="26"/>
        <v>36</v>
      </c>
    </row>
    <row r="389" spans="1:7" x14ac:dyDescent="0.15">
      <c r="A389" t="str">
        <f t="shared" si="27"/>
        <v>478</v>
      </c>
      <c r="B389">
        <v>405</v>
      </c>
      <c r="C389" s="431" t="s">
        <v>1985</v>
      </c>
      <c r="D389" t="s">
        <v>1984</v>
      </c>
      <c r="E389">
        <f t="shared" si="24"/>
        <v>114</v>
      </c>
      <c r="F389">
        <f t="shared" si="25"/>
        <v>54</v>
      </c>
      <c r="G389">
        <f t="shared" si="26"/>
        <v>41</v>
      </c>
    </row>
    <row r="390" spans="1:7" x14ac:dyDescent="0.15">
      <c r="A390" t="str">
        <f t="shared" si="27"/>
        <v>479</v>
      </c>
      <c r="B390">
        <v>406</v>
      </c>
      <c r="C390" s="432" t="s">
        <v>1987</v>
      </c>
      <c r="D390" t="s">
        <v>1986</v>
      </c>
      <c r="E390">
        <f t="shared" ref="E390:E453" si="28">HEX2DEC(MID(C390,2,2))</f>
        <v>173</v>
      </c>
      <c r="F390">
        <f t="shared" ref="F390:F453" si="29">HEX2DEC(MID(C390,4,2))</f>
        <v>128</v>
      </c>
      <c r="G390">
        <f t="shared" ref="G390:G453" si="30">HEX2DEC(MID(C390,6,2))</f>
        <v>108</v>
      </c>
    </row>
    <row r="391" spans="1:7" x14ac:dyDescent="0.15">
      <c r="A391" t="str">
        <f t="shared" si="27"/>
        <v>480</v>
      </c>
      <c r="B391">
        <v>407</v>
      </c>
      <c r="C391" s="433" t="s">
        <v>1989</v>
      </c>
      <c r="D391" t="s">
        <v>1988</v>
      </c>
      <c r="E391">
        <f t="shared" si="28"/>
        <v>200</v>
      </c>
      <c r="F391">
        <f t="shared" si="29"/>
        <v>169</v>
      </c>
      <c r="G391">
        <f t="shared" si="30"/>
        <v>154</v>
      </c>
    </row>
    <row r="392" spans="1:7" x14ac:dyDescent="0.15">
      <c r="A392" t="str">
        <f t="shared" si="27"/>
        <v>481</v>
      </c>
      <c r="B392">
        <v>408</v>
      </c>
      <c r="C392" s="434" t="s">
        <v>1991</v>
      </c>
      <c r="D392" t="s">
        <v>1990</v>
      </c>
      <c r="E392">
        <f t="shared" si="28"/>
        <v>213</v>
      </c>
      <c r="F392">
        <f t="shared" si="29"/>
        <v>189</v>
      </c>
      <c r="G392">
        <f t="shared" si="30"/>
        <v>176</v>
      </c>
    </row>
    <row r="393" spans="1:7" x14ac:dyDescent="0.15">
      <c r="A393" t="str">
        <f t="shared" si="27"/>
        <v>482</v>
      </c>
      <c r="B393">
        <v>409</v>
      </c>
      <c r="C393" s="435" t="s">
        <v>1993</v>
      </c>
      <c r="D393" t="s">
        <v>1992</v>
      </c>
      <c r="E393">
        <f t="shared" si="28"/>
        <v>221</v>
      </c>
      <c r="F393">
        <f t="shared" si="29"/>
        <v>206</v>
      </c>
      <c r="G393">
        <f t="shared" si="30"/>
        <v>196</v>
      </c>
    </row>
    <row r="394" spans="1:7" x14ac:dyDescent="0.15">
      <c r="A394" t="str">
        <f t="shared" si="27"/>
        <v>483</v>
      </c>
      <c r="B394">
        <v>410</v>
      </c>
      <c r="C394" s="436" t="s">
        <v>1995</v>
      </c>
      <c r="D394" t="s">
        <v>1994</v>
      </c>
      <c r="E394">
        <f t="shared" si="28"/>
        <v>106</v>
      </c>
      <c r="F394">
        <f t="shared" si="29"/>
        <v>46</v>
      </c>
      <c r="G394">
        <f t="shared" si="30"/>
        <v>34</v>
      </c>
    </row>
    <row r="395" spans="1:7" x14ac:dyDescent="0.15">
      <c r="A395" t="str">
        <f t="shared" si="27"/>
        <v>484</v>
      </c>
      <c r="B395">
        <v>411</v>
      </c>
      <c r="C395" s="437" t="s">
        <v>1997</v>
      </c>
      <c r="D395" t="s">
        <v>1996</v>
      </c>
      <c r="E395">
        <f t="shared" si="28"/>
        <v>159</v>
      </c>
      <c r="F395">
        <f t="shared" si="29"/>
        <v>45</v>
      </c>
      <c r="G395">
        <f t="shared" si="30"/>
        <v>32</v>
      </c>
    </row>
    <row r="396" spans="1:7" x14ac:dyDescent="0.15">
      <c r="A396" t="str">
        <f t="shared" si="27"/>
        <v>485</v>
      </c>
      <c r="B396">
        <v>412</v>
      </c>
      <c r="C396" s="438" t="s">
        <v>1999</v>
      </c>
      <c r="D396" t="s">
        <v>1998</v>
      </c>
      <c r="E396">
        <f t="shared" si="28"/>
        <v>220</v>
      </c>
      <c r="F396">
        <f t="shared" si="29"/>
        <v>36</v>
      </c>
      <c r="G396">
        <f t="shared" si="30"/>
        <v>31</v>
      </c>
    </row>
    <row r="397" spans="1:7" x14ac:dyDescent="0.15">
      <c r="A397" t="str">
        <f t="shared" si="27"/>
        <v>486</v>
      </c>
      <c r="B397">
        <v>413</v>
      </c>
      <c r="C397" s="439" t="s">
        <v>2001</v>
      </c>
      <c r="D397" t="s">
        <v>2000</v>
      </c>
      <c r="E397">
        <f t="shared" si="28"/>
        <v>236</v>
      </c>
      <c r="F397">
        <f t="shared" si="29"/>
        <v>147</v>
      </c>
      <c r="G397">
        <f t="shared" si="30"/>
        <v>132</v>
      </c>
    </row>
    <row r="398" spans="1:7" x14ac:dyDescent="0.15">
      <c r="A398" t="str">
        <f t="shared" si="27"/>
        <v>487</v>
      </c>
      <c r="B398">
        <v>414</v>
      </c>
      <c r="C398" s="440" t="s">
        <v>2003</v>
      </c>
      <c r="D398" t="s">
        <v>2002</v>
      </c>
      <c r="E398">
        <f t="shared" si="28"/>
        <v>236</v>
      </c>
      <c r="F398">
        <f t="shared" si="29"/>
        <v>171</v>
      </c>
      <c r="G398">
        <f t="shared" si="30"/>
        <v>157</v>
      </c>
    </row>
    <row r="399" spans="1:7" x14ac:dyDescent="0.15">
      <c r="A399" t="str">
        <f t="shared" si="27"/>
        <v>488</v>
      </c>
      <c r="B399">
        <v>415</v>
      </c>
      <c r="C399" s="441" t="s">
        <v>2005</v>
      </c>
      <c r="D399" t="s">
        <v>2004</v>
      </c>
      <c r="E399">
        <f t="shared" si="28"/>
        <v>236</v>
      </c>
      <c r="F399">
        <f t="shared" si="29"/>
        <v>187</v>
      </c>
      <c r="G399">
        <f t="shared" si="30"/>
        <v>175</v>
      </c>
    </row>
    <row r="400" spans="1:7" x14ac:dyDescent="0.15">
      <c r="A400" t="str">
        <f t="shared" si="27"/>
        <v>489</v>
      </c>
      <c r="B400">
        <v>416</v>
      </c>
      <c r="C400" s="442" t="s">
        <v>2007</v>
      </c>
      <c r="D400" t="s">
        <v>2006</v>
      </c>
      <c r="E400">
        <f t="shared" si="28"/>
        <v>235</v>
      </c>
      <c r="F400">
        <f t="shared" si="29"/>
        <v>205</v>
      </c>
      <c r="G400">
        <f t="shared" si="30"/>
        <v>195</v>
      </c>
    </row>
    <row r="401" spans="1:7" x14ac:dyDescent="0.15">
      <c r="A401" t="str">
        <f t="shared" si="27"/>
        <v>490</v>
      </c>
      <c r="B401">
        <v>418</v>
      </c>
      <c r="C401" s="443" t="s">
        <v>2009</v>
      </c>
      <c r="D401" t="s">
        <v>2008</v>
      </c>
      <c r="E401">
        <f t="shared" si="28"/>
        <v>90</v>
      </c>
      <c r="F401">
        <f t="shared" si="29"/>
        <v>39</v>
      </c>
      <c r="G401">
        <f t="shared" si="30"/>
        <v>42</v>
      </c>
    </row>
    <row r="402" spans="1:7" x14ac:dyDescent="0.15">
      <c r="A402" t="str">
        <f t="shared" si="27"/>
        <v>491</v>
      </c>
      <c r="B402">
        <v>419</v>
      </c>
      <c r="C402" s="444" t="s">
        <v>2011</v>
      </c>
      <c r="D402" t="s">
        <v>2010</v>
      </c>
      <c r="E402">
        <f t="shared" si="28"/>
        <v>119</v>
      </c>
      <c r="F402">
        <f t="shared" si="29"/>
        <v>43</v>
      </c>
      <c r="G402">
        <f t="shared" si="30"/>
        <v>47</v>
      </c>
    </row>
    <row r="403" spans="1:7" x14ac:dyDescent="0.15">
      <c r="A403" t="str">
        <f t="shared" si="27"/>
        <v>492</v>
      </c>
      <c r="B403">
        <v>420</v>
      </c>
      <c r="C403" s="445" t="s">
        <v>2013</v>
      </c>
      <c r="D403" t="s">
        <v>2012</v>
      </c>
      <c r="E403">
        <f t="shared" si="28"/>
        <v>145</v>
      </c>
      <c r="F403">
        <f t="shared" si="29"/>
        <v>53</v>
      </c>
      <c r="G403">
        <f t="shared" si="30"/>
        <v>59</v>
      </c>
    </row>
    <row r="404" spans="1:7" x14ac:dyDescent="0.15">
      <c r="A404" t="str">
        <f t="shared" si="27"/>
        <v>493</v>
      </c>
      <c r="B404">
        <v>421</v>
      </c>
      <c r="C404" s="446" t="s">
        <v>2015</v>
      </c>
      <c r="D404" t="s">
        <v>2014</v>
      </c>
      <c r="E404">
        <f t="shared" si="28"/>
        <v>215</v>
      </c>
      <c r="F404">
        <f t="shared" si="29"/>
        <v>131</v>
      </c>
      <c r="G404">
        <f t="shared" si="30"/>
        <v>150</v>
      </c>
    </row>
    <row r="405" spans="1:7" x14ac:dyDescent="0.15">
      <c r="A405" t="str">
        <f t="shared" si="27"/>
        <v>494</v>
      </c>
      <c r="B405">
        <v>422</v>
      </c>
      <c r="C405" s="447" t="s">
        <v>2017</v>
      </c>
      <c r="D405" t="s">
        <v>2016</v>
      </c>
      <c r="E405">
        <f t="shared" si="28"/>
        <v>231</v>
      </c>
      <c r="F405">
        <f t="shared" si="29"/>
        <v>167</v>
      </c>
      <c r="G405">
        <f t="shared" si="30"/>
        <v>182</v>
      </c>
    </row>
    <row r="406" spans="1:7" x14ac:dyDescent="0.15">
      <c r="A406" t="str">
        <f t="shared" si="27"/>
        <v>495</v>
      </c>
      <c r="B406">
        <v>423</v>
      </c>
      <c r="C406" s="448" t="s">
        <v>2019</v>
      </c>
      <c r="D406" t="s">
        <v>2018</v>
      </c>
      <c r="E406">
        <f t="shared" si="28"/>
        <v>237</v>
      </c>
      <c r="F406">
        <f t="shared" si="29"/>
        <v>184</v>
      </c>
      <c r="G406">
        <f t="shared" si="30"/>
        <v>197</v>
      </c>
    </row>
    <row r="407" spans="1:7" x14ac:dyDescent="0.15">
      <c r="A407" t="str">
        <f t="shared" si="27"/>
        <v>496</v>
      </c>
      <c r="B407">
        <v>424</v>
      </c>
      <c r="C407" s="449" t="s">
        <v>2021</v>
      </c>
      <c r="D407" t="s">
        <v>2020</v>
      </c>
      <c r="E407">
        <f t="shared" si="28"/>
        <v>239</v>
      </c>
      <c r="F407">
        <f t="shared" si="29"/>
        <v>196</v>
      </c>
      <c r="G407">
        <f t="shared" si="30"/>
        <v>206</v>
      </c>
    </row>
    <row r="408" spans="1:7" x14ac:dyDescent="0.15">
      <c r="A408" t="str">
        <f t="shared" si="27"/>
        <v>497</v>
      </c>
      <c r="B408">
        <v>425</v>
      </c>
      <c r="C408" s="450" t="s">
        <v>2023</v>
      </c>
      <c r="D408" t="s">
        <v>2022</v>
      </c>
      <c r="E408">
        <f t="shared" si="28"/>
        <v>78</v>
      </c>
      <c r="F408">
        <f t="shared" si="29"/>
        <v>42</v>
      </c>
      <c r="G408">
        <f t="shared" si="30"/>
        <v>40</v>
      </c>
    </row>
    <row r="409" spans="1:7" x14ac:dyDescent="0.15">
      <c r="A409" t="str">
        <f t="shared" si="27"/>
        <v>498</v>
      </c>
      <c r="B409">
        <v>426</v>
      </c>
      <c r="C409" s="451" t="s">
        <v>2025</v>
      </c>
      <c r="D409" t="s">
        <v>2024</v>
      </c>
      <c r="E409">
        <f t="shared" si="28"/>
        <v>104</v>
      </c>
      <c r="F409">
        <f t="shared" si="29"/>
        <v>50</v>
      </c>
      <c r="G409">
        <f t="shared" si="30"/>
        <v>46</v>
      </c>
    </row>
    <row r="410" spans="1:7" x14ac:dyDescent="0.15">
      <c r="A410" t="str">
        <f t="shared" si="27"/>
        <v>499</v>
      </c>
      <c r="B410">
        <v>427</v>
      </c>
      <c r="C410" s="452" t="s">
        <v>2027</v>
      </c>
      <c r="D410" t="s">
        <v>2026</v>
      </c>
      <c r="E410">
        <f t="shared" si="28"/>
        <v>118</v>
      </c>
      <c r="F410">
        <f t="shared" si="29"/>
        <v>57</v>
      </c>
      <c r="G410">
        <f t="shared" si="30"/>
        <v>49</v>
      </c>
    </row>
    <row r="411" spans="1:7" x14ac:dyDescent="0.15">
      <c r="A411" t="str">
        <f t="shared" si="27"/>
        <v>500</v>
      </c>
      <c r="B411">
        <v>428</v>
      </c>
      <c r="C411" s="453" t="s">
        <v>2029</v>
      </c>
      <c r="D411" t="s">
        <v>2028</v>
      </c>
      <c r="E411">
        <f t="shared" si="28"/>
        <v>200</v>
      </c>
      <c r="F411">
        <f t="shared" si="29"/>
        <v>134</v>
      </c>
      <c r="G411">
        <f t="shared" si="30"/>
        <v>145</v>
      </c>
    </row>
    <row r="412" spans="1:7" x14ac:dyDescent="0.15">
      <c r="A412" t="str">
        <f t="shared" si="27"/>
        <v>501</v>
      </c>
      <c r="B412">
        <v>429</v>
      </c>
      <c r="C412" s="454" t="s">
        <v>2031</v>
      </c>
      <c r="D412" t="s">
        <v>2030</v>
      </c>
      <c r="E412">
        <f t="shared" si="28"/>
        <v>222</v>
      </c>
      <c r="F412">
        <f t="shared" si="29"/>
        <v>172</v>
      </c>
      <c r="G412">
        <f t="shared" si="30"/>
        <v>183</v>
      </c>
    </row>
    <row r="413" spans="1:7" x14ac:dyDescent="0.15">
      <c r="A413" t="str">
        <f t="shared" si="27"/>
        <v>502</v>
      </c>
      <c r="B413">
        <v>430</v>
      </c>
      <c r="C413" s="455" t="s">
        <v>2033</v>
      </c>
      <c r="D413" t="s">
        <v>2032</v>
      </c>
      <c r="E413">
        <f t="shared" si="28"/>
        <v>229</v>
      </c>
      <c r="F413">
        <f t="shared" si="29"/>
        <v>191</v>
      </c>
      <c r="G413">
        <f t="shared" si="30"/>
        <v>199</v>
      </c>
    </row>
    <row r="414" spans="1:7" x14ac:dyDescent="0.15">
      <c r="A414" t="str">
        <f t="shared" si="27"/>
        <v>503</v>
      </c>
      <c r="B414">
        <v>431</v>
      </c>
      <c r="C414" s="456" t="s">
        <v>2035</v>
      </c>
      <c r="D414" t="s">
        <v>2034</v>
      </c>
      <c r="E414">
        <f t="shared" si="28"/>
        <v>233</v>
      </c>
      <c r="F414">
        <f t="shared" si="29"/>
        <v>204</v>
      </c>
      <c r="G414">
        <f t="shared" si="30"/>
        <v>210</v>
      </c>
    </row>
    <row r="415" spans="1:7" x14ac:dyDescent="0.15">
      <c r="A415" t="str">
        <f t="shared" si="27"/>
        <v>504</v>
      </c>
      <c r="B415">
        <v>432</v>
      </c>
      <c r="C415" s="457" t="s">
        <v>2037</v>
      </c>
      <c r="D415" t="s">
        <v>2036</v>
      </c>
      <c r="E415">
        <f t="shared" si="28"/>
        <v>78</v>
      </c>
      <c r="F415">
        <f t="shared" si="29"/>
        <v>32</v>
      </c>
      <c r="G415">
        <f t="shared" si="30"/>
        <v>41</v>
      </c>
    </row>
    <row r="416" spans="1:7" x14ac:dyDescent="0.15">
      <c r="A416" t="str">
        <f t="shared" si="27"/>
        <v>505</v>
      </c>
      <c r="B416">
        <v>433</v>
      </c>
      <c r="C416" s="458" t="s">
        <v>2039</v>
      </c>
      <c r="D416" t="s">
        <v>2038</v>
      </c>
      <c r="E416">
        <f t="shared" si="28"/>
        <v>110</v>
      </c>
      <c r="F416">
        <f t="shared" si="29"/>
        <v>38</v>
      </c>
      <c r="G416">
        <f t="shared" si="30"/>
        <v>57</v>
      </c>
    </row>
    <row r="417" spans="1:7" x14ac:dyDescent="0.15">
      <c r="A417" t="str">
        <f t="shared" si="27"/>
        <v>506</v>
      </c>
      <c r="B417">
        <v>434</v>
      </c>
      <c r="C417" s="459" t="s">
        <v>2041</v>
      </c>
      <c r="D417" t="s">
        <v>2040</v>
      </c>
      <c r="E417">
        <f t="shared" si="28"/>
        <v>126</v>
      </c>
      <c r="F417">
        <f t="shared" si="29"/>
        <v>43</v>
      </c>
      <c r="G417">
        <f t="shared" si="30"/>
        <v>66</v>
      </c>
    </row>
    <row r="418" spans="1:7" x14ac:dyDescent="0.15">
      <c r="A418" t="str">
        <f t="shared" si="27"/>
        <v>507</v>
      </c>
      <c r="B418">
        <v>435</v>
      </c>
      <c r="C418" s="460" t="s">
        <v>2043</v>
      </c>
      <c r="D418" t="s">
        <v>2042</v>
      </c>
      <c r="E418">
        <f t="shared" si="28"/>
        <v>211</v>
      </c>
      <c r="F418">
        <f t="shared" si="29"/>
        <v>141</v>
      </c>
      <c r="G418">
        <f t="shared" si="30"/>
        <v>166</v>
      </c>
    </row>
    <row r="419" spans="1:7" x14ac:dyDescent="0.15">
      <c r="A419" t="str">
        <f t="shared" si="27"/>
        <v>508</v>
      </c>
      <c r="B419">
        <v>436</v>
      </c>
      <c r="C419" s="461" t="s">
        <v>2045</v>
      </c>
      <c r="D419" t="s">
        <v>2044</v>
      </c>
      <c r="E419">
        <f t="shared" si="28"/>
        <v>226</v>
      </c>
      <c r="F419">
        <f t="shared" si="29"/>
        <v>171</v>
      </c>
      <c r="G419">
        <f t="shared" si="30"/>
        <v>191</v>
      </c>
    </row>
    <row r="420" spans="1:7" x14ac:dyDescent="0.15">
      <c r="A420" t="str">
        <f t="shared" si="27"/>
        <v>509</v>
      </c>
      <c r="B420">
        <v>437</v>
      </c>
      <c r="C420" s="462" t="s">
        <v>2047</v>
      </c>
      <c r="D420" t="s">
        <v>2046</v>
      </c>
      <c r="E420">
        <f t="shared" si="28"/>
        <v>231</v>
      </c>
      <c r="F420">
        <f t="shared" si="29"/>
        <v>185</v>
      </c>
      <c r="G420">
        <f t="shared" si="30"/>
        <v>202</v>
      </c>
    </row>
    <row r="421" spans="1:7" x14ac:dyDescent="0.15">
      <c r="A421" t="str">
        <f t="shared" si="27"/>
        <v>510</v>
      </c>
      <c r="B421">
        <v>438</v>
      </c>
      <c r="C421" s="463" t="s">
        <v>2049</v>
      </c>
      <c r="D421" t="s">
        <v>2048</v>
      </c>
      <c r="E421">
        <f t="shared" si="28"/>
        <v>233</v>
      </c>
      <c r="F421">
        <f t="shared" si="29"/>
        <v>194</v>
      </c>
      <c r="G421">
        <f t="shared" si="30"/>
        <v>209</v>
      </c>
    </row>
    <row r="422" spans="1:7" x14ac:dyDescent="0.15">
      <c r="A422" t="str">
        <f t="shared" si="27"/>
        <v>511</v>
      </c>
      <c r="B422">
        <v>440</v>
      </c>
      <c r="C422" s="464" t="s">
        <v>2051</v>
      </c>
      <c r="D422" t="s">
        <v>2050</v>
      </c>
      <c r="E422">
        <f t="shared" si="28"/>
        <v>96</v>
      </c>
      <c r="F422">
        <f t="shared" si="29"/>
        <v>36</v>
      </c>
      <c r="G422">
        <f t="shared" si="30"/>
        <v>78</v>
      </c>
    </row>
    <row r="423" spans="1:7" x14ac:dyDescent="0.15">
      <c r="A423" t="str">
        <f t="shared" si="27"/>
        <v>512</v>
      </c>
      <c r="B423">
        <v>441</v>
      </c>
      <c r="C423" s="465" t="s">
        <v>2053</v>
      </c>
      <c r="D423" t="s">
        <v>2052</v>
      </c>
      <c r="E423">
        <f t="shared" si="28"/>
        <v>126</v>
      </c>
      <c r="F423">
        <f t="shared" si="29"/>
        <v>34</v>
      </c>
      <c r="G423">
        <f t="shared" si="30"/>
        <v>113</v>
      </c>
    </row>
    <row r="424" spans="1:7" x14ac:dyDescent="0.15">
      <c r="A424" t="str">
        <f t="shared" si="27"/>
        <v>513</v>
      </c>
      <c r="B424">
        <v>442</v>
      </c>
      <c r="C424" s="466" t="s">
        <v>2055</v>
      </c>
      <c r="D424" t="s">
        <v>2054</v>
      </c>
      <c r="E424">
        <f t="shared" si="28"/>
        <v>149</v>
      </c>
      <c r="F424">
        <f t="shared" si="29"/>
        <v>40</v>
      </c>
      <c r="G424">
        <f t="shared" si="30"/>
        <v>143</v>
      </c>
    </row>
    <row r="425" spans="1:7" x14ac:dyDescent="0.15">
      <c r="A425" t="str">
        <f t="shared" si="27"/>
        <v>514</v>
      </c>
      <c r="B425">
        <v>443</v>
      </c>
      <c r="C425" s="467" t="s">
        <v>2057</v>
      </c>
      <c r="D425" t="s">
        <v>2056</v>
      </c>
      <c r="E425">
        <f t="shared" si="28"/>
        <v>211</v>
      </c>
      <c r="F425">
        <f t="shared" si="29"/>
        <v>133</v>
      </c>
      <c r="G425">
        <f t="shared" si="30"/>
        <v>200</v>
      </c>
    </row>
    <row r="426" spans="1:7" x14ac:dyDescent="0.15">
      <c r="A426" t="str">
        <f t="shared" si="27"/>
        <v>515</v>
      </c>
      <c r="B426">
        <v>444</v>
      </c>
      <c r="C426" s="468" t="s">
        <v>2059</v>
      </c>
      <c r="D426" t="s">
        <v>2058</v>
      </c>
      <c r="E426">
        <f t="shared" si="28"/>
        <v>223</v>
      </c>
      <c r="F426">
        <f t="shared" si="29"/>
        <v>165</v>
      </c>
      <c r="G426">
        <f t="shared" si="30"/>
        <v>214</v>
      </c>
    </row>
    <row r="427" spans="1:7" x14ac:dyDescent="0.15">
      <c r="A427" t="str">
        <f t="shared" si="27"/>
        <v>516</v>
      </c>
      <c r="B427">
        <v>445</v>
      </c>
      <c r="C427" s="469" t="s">
        <v>2061</v>
      </c>
      <c r="D427" t="s">
        <v>2060</v>
      </c>
      <c r="E427">
        <f t="shared" si="28"/>
        <v>231</v>
      </c>
      <c r="F427">
        <f t="shared" si="29"/>
        <v>186</v>
      </c>
      <c r="G427">
        <f t="shared" si="30"/>
        <v>223</v>
      </c>
    </row>
    <row r="428" spans="1:7" x14ac:dyDescent="0.15">
      <c r="A428" t="str">
        <f t="shared" si="27"/>
        <v>517</v>
      </c>
      <c r="B428">
        <v>446</v>
      </c>
      <c r="C428" s="470" t="s">
        <v>2063</v>
      </c>
      <c r="D428" t="s">
        <v>2062</v>
      </c>
      <c r="E428">
        <f t="shared" si="28"/>
        <v>235</v>
      </c>
      <c r="F428">
        <f t="shared" si="29"/>
        <v>202</v>
      </c>
      <c r="G428">
        <f t="shared" si="30"/>
        <v>227</v>
      </c>
    </row>
    <row r="429" spans="1:7" x14ac:dyDescent="0.15">
      <c r="A429" t="str">
        <f t="shared" si="27"/>
        <v>518</v>
      </c>
      <c r="B429">
        <v>447</v>
      </c>
      <c r="C429" s="471" t="s">
        <v>2065</v>
      </c>
      <c r="D429" t="s">
        <v>2064</v>
      </c>
      <c r="E429">
        <f t="shared" si="28"/>
        <v>75</v>
      </c>
      <c r="F429">
        <f t="shared" si="29"/>
        <v>42</v>
      </c>
      <c r="G429">
        <f t="shared" si="30"/>
        <v>70</v>
      </c>
    </row>
    <row r="430" spans="1:7" x14ac:dyDescent="0.15">
      <c r="A430" t="str">
        <f t="shared" si="27"/>
        <v>519</v>
      </c>
      <c r="B430">
        <v>448</v>
      </c>
      <c r="C430" s="472" t="s">
        <v>2067</v>
      </c>
      <c r="D430" t="s">
        <v>2066</v>
      </c>
      <c r="E430">
        <f t="shared" si="28"/>
        <v>90</v>
      </c>
      <c r="F430">
        <f t="shared" si="29"/>
        <v>45</v>
      </c>
      <c r="G430">
        <f t="shared" si="30"/>
        <v>95</v>
      </c>
    </row>
    <row r="431" spans="1:7" x14ac:dyDescent="0.15">
      <c r="A431" t="str">
        <f t="shared" si="27"/>
        <v>520</v>
      </c>
      <c r="B431">
        <v>449</v>
      </c>
      <c r="C431" s="473" t="s">
        <v>2069</v>
      </c>
      <c r="D431" t="s">
        <v>2068</v>
      </c>
      <c r="E431">
        <f t="shared" si="28"/>
        <v>104</v>
      </c>
      <c r="F431">
        <f t="shared" si="29"/>
        <v>47</v>
      </c>
      <c r="G431">
        <f t="shared" si="30"/>
        <v>115</v>
      </c>
    </row>
    <row r="432" spans="1:7" x14ac:dyDescent="0.15">
      <c r="A432" t="str">
        <f t="shared" si="27"/>
        <v>521</v>
      </c>
      <c r="B432">
        <v>450</v>
      </c>
      <c r="C432" s="474" t="s">
        <v>2071</v>
      </c>
      <c r="D432" t="s">
        <v>2070</v>
      </c>
      <c r="E432">
        <f t="shared" si="28"/>
        <v>173</v>
      </c>
      <c r="F432">
        <f t="shared" si="29"/>
        <v>133</v>
      </c>
      <c r="G432">
        <f t="shared" si="30"/>
        <v>186</v>
      </c>
    </row>
    <row r="433" spans="1:7" x14ac:dyDescent="0.15">
      <c r="A433" t="str">
        <f t="shared" si="27"/>
        <v>522</v>
      </c>
      <c r="B433">
        <v>451</v>
      </c>
      <c r="C433" s="475" t="s">
        <v>2073</v>
      </c>
      <c r="D433" t="s">
        <v>2072</v>
      </c>
      <c r="E433">
        <f t="shared" si="28"/>
        <v>189</v>
      </c>
      <c r="F433">
        <f t="shared" si="29"/>
        <v>158</v>
      </c>
      <c r="G433">
        <f t="shared" si="30"/>
        <v>202</v>
      </c>
    </row>
    <row r="434" spans="1:7" x14ac:dyDescent="0.15">
      <c r="A434" t="str">
        <f t="shared" si="27"/>
        <v>523</v>
      </c>
      <c r="B434">
        <v>452</v>
      </c>
      <c r="C434" s="476" t="s">
        <v>2075</v>
      </c>
      <c r="D434" t="s">
        <v>2074</v>
      </c>
      <c r="E434">
        <f t="shared" si="28"/>
        <v>203</v>
      </c>
      <c r="F434">
        <f t="shared" si="29"/>
        <v>178</v>
      </c>
      <c r="G434">
        <f t="shared" si="30"/>
        <v>213</v>
      </c>
    </row>
    <row r="435" spans="1:7" x14ac:dyDescent="0.15">
      <c r="A435" t="str">
        <f t="shared" si="27"/>
        <v>524</v>
      </c>
      <c r="B435">
        <v>453</v>
      </c>
      <c r="C435" s="477" t="s">
        <v>2077</v>
      </c>
      <c r="D435" t="s">
        <v>2076</v>
      </c>
      <c r="E435">
        <f t="shared" si="28"/>
        <v>218</v>
      </c>
      <c r="F435">
        <f t="shared" si="29"/>
        <v>204</v>
      </c>
      <c r="G435">
        <f t="shared" si="30"/>
        <v>225</v>
      </c>
    </row>
    <row r="436" spans="1:7" x14ac:dyDescent="0.15">
      <c r="A436" t="str">
        <f t="shared" si="27"/>
        <v>525</v>
      </c>
      <c r="B436">
        <v>454</v>
      </c>
      <c r="C436" s="478" t="s">
        <v>2079</v>
      </c>
      <c r="D436" t="s">
        <v>2078</v>
      </c>
      <c r="E436">
        <f t="shared" si="28"/>
        <v>81</v>
      </c>
      <c r="F436">
        <f t="shared" si="29"/>
        <v>38</v>
      </c>
      <c r="G436">
        <f t="shared" si="30"/>
        <v>90</v>
      </c>
    </row>
    <row r="437" spans="1:7" x14ac:dyDescent="0.15">
      <c r="A437" t="str">
        <f t="shared" si="27"/>
        <v>526</v>
      </c>
      <c r="B437">
        <v>455</v>
      </c>
      <c r="C437" s="479" t="s">
        <v>2081</v>
      </c>
      <c r="D437" t="s">
        <v>2080</v>
      </c>
      <c r="E437">
        <f t="shared" si="28"/>
        <v>97</v>
      </c>
      <c r="F437">
        <f t="shared" si="29"/>
        <v>32</v>
      </c>
      <c r="G437">
        <f t="shared" si="30"/>
        <v>127</v>
      </c>
    </row>
    <row r="438" spans="1:7" x14ac:dyDescent="0.15">
      <c r="A438" t="str">
        <f t="shared" si="27"/>
        <v>527</v>
      </c>
      <c r="B438">
        <v>456</v>
      </c>
      <c r="C438" s="480" t="s">
        <v>2083</v>
      </c>
      <c r="D438" t="s">
        <v>2082</v>
      </c>
      <c r="E438">
        <f t="shared" si="28"/>
        <v>110</v>
      </c>
      <c r="F438">
        <f t="shared" si="29"/>
        <v>32</v>
      </c>
      <c r="G438">
        <f t="shared" si="30"/>
        <v>160</v>
      </c>
    </row>
    <row r="439" spans="1:7" x14ac:dyDescent="0.15">
      <c r="A439" t="str">
        <f t="shared" si="27"/>
        <v>528</v>
      </c>
      <c r="B439">
        <v>457</v>
      </c>
      <c r="C439" s="481" t="s">
        <v>2085</v>
      </c>
      <c r="D439" t="s">
        <v>2084</v>
      </c>
      <c r="E439">
        <f t="shared" si="28"/>
        <v>167</v>
      </c>
      <c r="F439">
        <f t="shared" si="29"/>
        <v>116</v>
      </c>
      <c r="G439">
        <f t="shared" si="30"/>
        <v>205</v>
      </c>
    </row>
    <row r="440" spans="1:7" x14ac:dyDescent="0.15">
      <c r="A440" t="str">
        <f t="shared" si="27"/>
        <v>529</v>
      </c>
      <c r="B440">
        <v>458</v>
      </c>
      <c r="C440" s="482" t="s">
        <v>2087</v>
      </c>
      <c r="D440" t="s">
        <v>2086</v>
      </c>
      <c r="E440">
        <f t="shared" si="28"/>
        <v>198</v>
      </c>
      <c r="F440">
        <f t="shared" si="29"/>
        <v>164</v>
      </c>
      <c r="G440">
        <f t="shared" si="30"/>
        <v>225</v>
      </c>
    </row>
    <row r="441" spans="1:7" x14ac:dyDescent="0.15">
      <c r="A441" t="str">
        <f t="shared" si="27"/>
        <v>530</v>
      </c>
      <c r="B441">
        <v>459</v>
      </c>
      <c r="C441" s="483" t="s">
        <v>2089</v>
      </c>
      <c r="D441" t="s">
        <v>2088</v>
      </c>
      <c r="E441">
        <f t="shared" si="28"/>
        <v>207</v>
      </c>
      <c r="F441">
        <f t="shared" si="29"/>
        <v>177</v>
      </c>
      <c r="G441">
        <f t="shared" si="30"/>
        <v>227</v>
      </c>
    </row>
    <row r="442" spans="1:7" x14ac:dyDescent="0.15">
      <c r="A442" t="str">
        <f t="shared" si="27"/>
        <v>531</v>
      </c>
      <c r="B442">
        <v>460</v>
      </c>
      <c r="C442" s="484" t="s">
        <v>2091</v>
      </c>
      <c r="D442" t="s">
        <v>2090</v>
      </c>
      <c r="E442">
        <f t="shared" si="28"/>
        <v>215</v>
      </c>
      <c r="F442">
        <f t="shared" si="29"/>
        <v>196</v>
      </c>
      <c r="G442">
        <f t="shared" si="30"/>
        <v>231</v>
      </c>
    </row>
    <row r="443" spans="1:7" x14ac:dyDescent="0.15">
      <c r="A443" t="str">
        <f t="shared" si="27"/>
        <v>532</v>
      </c>
      <c r="B443">
        <v>462</v>
      </c>
      <c r="C443" s="485" t="s">
        <v>2093</v>
      </c>
      <c r="D443" t="s">
        <v>2092</v>
      </c>
      <c r="E443">
        <f t="shared" si="28"/>
        <v>38</v>
      </c>
      <c r="F443">
        <f t="shared" si="29"/>
        <v>42</v>
      </c>
      <c r="G443">
        <f t="shared" si="30"/>
        <v>57</v>
      </c>
    </row>
    <row r="444" spans="1:7" x14ac:dyDescent="0.15">
      <c r="A444" t="str">
        <f t="shared" si="27"/>
        <v>533</v>
      </c>
      <c r="B444">
        <v>463</v>
      </c>
      <c r="C444" s="486" t="s">
        <v>2095</v>
      </c>
      <c r="D444" t="s">
        <v>2094</v>
      </c>
      <c r="E444">
        <f t="shared" si="28"/>
        <v>37</v>
      </c>
      <c r="F444">
        <f t="shared" si="29"/>
        <v>51</v>
      </c>
      <c r="G444">
        <f t="shared" si="30"/>
        <v>85</v>
      </c>
    </row>
    <row r="445" spans="1:7" x14ac:dyDescent="0.15">
      <c r="A445" t="str">
        <f t="shared" si="27"/>
        <v>534</v>
      </c>
      <c r="B445">
        <v>464</v>
      </c>
      <c r="C445" s="487" t="s">
        <v>2097</v>
      </c>
      <c r="D445" t="s">
        <v>2096</v>
      </c>
      <c r="E445">
        <f t="shared" si="28"/>
        <v>41</v>
      </c>
      <c r="F445">
        <f t="shared" si="29"/>
        <v>63</v>
      </c>
      <c r="G445">
        <f t="shared" si="30"/>
        <v>111</v>
      </c>
    </row>
    <row r="446" spans="1:7" x14ac:dyDescent="0.15">
      <c r="A446" t="str">
        <f t="shared" si="27"/>
        <v>535</v>
      </c>
      <c r="B446">
        <v>465</v>
      </c>
      <c r="C446" s="488" t="s">
        <v>2099</v>
      </c>
      <c r="D446" t="s">
        <v>2098</v>
      </c>
      <c r="E446">
        <f t="shared" si="28"/>
        <v>149</v>
      </c>
      <c r="F446">
        <f t="shared" si="29"/>
        <v>161</v>
      </c>
      <c r="G446">
        <f t="shared" si="30"/>
        <v>195</v>
      </c>
    </row>
    <row r="447" spans="1:7" x14ac:dyDescent="0.15">
      <c r="A447" t="str">
        <f t="shared" si="27"/>
        <v>536</v>
      </c>
      <c r="B447">
        <v>466</v>
      </c>
      <c r="C447" s="489" t="s">
        <v>2101</v>
      </c>
      <c r="D447" t="s">
        <v>2100</v>
      </c>
      <c r="E447">
        <f t="shared" si="28"/>
        <v>164</v>
      </c>
      <c r="F447">
        <f t="shared" si="29"/>
        <v>177</v>
      </c>
      <c r="G447">
        <f t="shared" si="30"/>
        <v>205</v>
      </c>
    </row>
    <row r="448" spans="1:7" x14ac:dyDescent="0.15">
      <c r="A448" t="str">
        <f t="shared" si="27"/>
        <v>537</v>
      </c>
      <c r="B448">
        <v>467</v>
      </c>
      <c r="C448" s="490" t="s">
        <v>2103</v>
      </c>
      <c r="D448" t="s">
        <v>2102</v>
      </c>
      <c r="E448">
        <f t="shared" si="28"/>
        <v>189</v>
      </c>
      <c r="F448">
        <f t="shared" si="29"/>
        <v>198</v>
      </c>
      <c r="G448">
        <f t="shared" si="30"/>
        <v>218</v>
      </c>
    </row>
    <row r="449" spans="1:7" x14ac:dyDescent="0.15">
      <c r="A449" t="str">
        <f t="shared" si="27"/>
        <v>538</v>
      </c>
      <c r="B449">
        <v>468</v>
      </c>
      <c r="C449" s="491" t="s">
        <v>2105</v>
      </c>
      <c r="D449" t="s">
        <v>2104</v>
      </c>
      <c r="E449">
        <f t="shared" si="28"/>
        <v>210</v>
      </c>
      <c r="F449">
        <f t="shared" si="29"/>
        <v>215</v>
      </c>
      <c r="G449">
        <f t="shared" si="30"/>
        <v>228</v>
      </c>
    </row>
    <row r="450" spans="1:7" x14ac:dyDescent="0.15">
      <c r="A450" t="str">
        <f t="shared" si="27"/>
        <v>539</v>
      </c>
      <c r="B450">
        <v>469</v>
      </c>
      <c r="C450" s="492" t="s">
        <v>2107</v>
      </c>
      <c r="D450" t="s">
        <v>2106</v>
      </c>
      <c r="E450">
        <f t="shared" si="28"/>
        <v>0</v>
      </c>
      <c r="F450">
        <f t="shared" si="29"/>
        <v>42</v>
      </c>
      <c r="G450">
        <f t="shared" si="30"/>
        <v>70</v>
      </c>
    </row>
    <row r="451" spans="1:7" x14ac:dyDescent="0.15">
      <c r="A451" t="str">
        <f t="shared" ref="A451:A514" si="31">LEFT(D451,LEN(D451)-1)</f>
        <v>540</v>
      </c>
      <c r="B451">
        <v>470</v>
      </c>
      <c r="C451" s="493" t="s">
        <v>2109</v>
      </c>
      <c r="D451" t="s">
        <v>2108</v>
      </c>
      <c r="E451">
        <f t="shared" si="28"/>
        <v>0</v>
      </c>
      <c r="F451">
        <f t="shared" si="29"/>
        <v>47</v>
      </c>
      <c r="G451">
        <f t="shared" si="30"/>
        <v>93</v>
      </c>
    </row>
    <row r="452" spans="1:7" x14ac:dyDescent="0.15">
      <c r="A452" t="str">
        <f t="shared" si="31"/>
        <v>541</v>
      </c>
      <c r="B452">
        <v>471</v>
      </c>
      <c r="C452" s="494" t="s">
        <v>2111</v>
      </c>
      <c r="D452" t="s">
        <v>2110</v>
      </c>
      <c r="E452">
        <f t="shared" si="28"/>
        <v>0</v>
      </c>
      <c r="F452">
        <f t="shared" si="29"/>
        <v>60</v>
      </c>
      <c r="G452">
        <f t="shared" si="30"/>
        <v>121</v>
      </c>
    </row>
    <row r="453" spans="1:7" x14ac:dyDescent="0.15">
      <c r="A453" t="str">
        <f t="shared" si="31"/>
        <v>542</v>
      </c>
      <c r="B453">
        <v>472</v>
      </c>
      <c r="C453" s="495" t="s">
        <v>2113</v>
      </c>
      <c r="D453" t="s">
        <v>2112</v>
      </c>
      <c r="E453">
        <f t="shared" si="28"/>
        <v>89</v>
      </c>
      <c r="F453">
        <f t="shared" si="29"/>
        <v>152</v>
      </c>
      <c r="G453">
        <f t="shared" si="30"/>
        <v>201</v>
      </c>
    </row>
    <row r="454" spans="1:7" x14ac:dyDescent="0.15">
      <c r="A454" t="str">
        <f t="shared" si="31"/>
        <v>543</v>
      </c>
      <c r="B454">
        <v>473</v>
      </c>
      <c r="C454" s="496" t="s">
        <v>2115</v>
      </c>
      <c r="D454" t="s">
        <v>2114</v>
      </c>
      <c r="E454">
        <f t="shared" ref="E454:E517" si="32">HEX2DEC(MID(C454,2,2))</f>
        <v>147</v>
      </c>
      <c r="F454">
        <f t="shared" ref="F454:F517" si="33">HEX2DEC(MID(C454,4,2))</f>
        <v>185</v>
      </c>
      <c r="G454">
        <f t="shared" ref="G454:G517" si="34">HEX2DEC(MID(C454,6,2))</f>
        <v>220</v>
      </c>
    </row>
    <row r="455" spans="1:7" x14ac:dyDescent="0.15">
      <c r="A455" t="str">
        <f t="shared" si="31"/>
        <v>544</v>
      </c>
      <c r="B455">
        <v>474</v>
      </c>
      <c r="C455" s="497" t="s">
        <v>2117</v>
      </c>
      <c r="D455" t="s">
        <v>2116</v>
      </c>
      <c r="E455">
        <f t="shared" si="32"/>
        <v>177</v>
      </c>
      <c r="F455">
        <f t="shared" si="33"/>
        <v>203</v>
      </c>
      <c r="G455">
        <f t="shared" si="34"/>
        <v>229</v>
      </c>
    </row>
    <row r="456" spans="1:7" x14ac:dyDescent="0.15">
      <c r="A456" t="str">
        <f t="shared" si="31"/>
        <v>545</v>
      </c>
      <c r="B456">
        <v>475</v>
      </c>
      <c r="C456" s="498" t="s">
        <v>2119</v>
      </c>
      <c r="D456" t="s">
        <v>2118</v>
      </c>
      <c r="E456">
        <f t="shared" si="32"/>
        <v>191</v>
      </c>
      <c r="F456">
        <f t="shared" si="33"/>
        <v>211</v>
      </c>
      <c r="G456">
        <f t="shared" si="34"/>
        <v>230</v>
      </c>
    </row>
    <row r="457" spans="1:7" x14ac:dyDescent="0.15">
      <c r="A457" t="str">
        <f t="shared" si="31"/>
        <v>546</v>
      </c>
      <c r="B457">
        <v>476</v>
      </c>
      <c r="C457" s="499" t="s">
        <v>2121</v>
      </c>
      <c r="D457" t="s">
        <v>2120</v>
      </c>
      <c r="E457">
        <f t="shared" si="32"/>
        <v>0</v>
      </c>
      <c r="F457">
        <f t="shared" si="33"/>
        <v>52</v>
      </c>
      <c r="G457">
        <f t="shared" si="34"/>
        <v>64</v>
      </c>
    </row>
    <row r="458" spans="1:7" x14ac:dyDescent="0.15">
      <c r="A458" t="str">
        <f t="shared" si="31"/>
        <v>547</v>
      </c>
      <c r="B458">
        <v>477</v>
      </c>
      <c r="C458" s="500" t="s">
        <v>2123</v>
      </c>
      <c r="D458" t="s">
        <v>2122</v>
      </c>
      <c r="E458">
        <f t="shared" si="32"/>
        <v>0</v>
      </c>
      <c r="F458">
        <f t="shared" si="33"/>
        <v>62</v>
      </c>
      <c r="G458">
        <f t="shared" si="34"/>
        <v>81</v>
      </c>
    </row>
    <row r="459" spans="1:7" x14ac:dyDescent="0.15">
      <c r="A459" t="str">
        <f t="shared" si="31"/>
        <v>548</v>
      </c>
      <c r="B459">
        <v>478</v>
      </c>
      <c r="C459" s="501" t="s">
        <v>2125</v>
      </c>
      <c r="D459" t="s">
        <v>2124</v>
      </c>
      <c r="E459">
        <f t="shared" si="32"/>
        <v>0</v>
      </c>
      <c r="F459">
        <f t="shared" si="33"/>
        <v>65</v>
      </c>
      <c r="G459">
        <f t="shared" si="34"/>
        <v>89</v>
      </c>
    </row>
    <row r="460" spans="1:7" x14ac:dyDescent="0.15">
      <c r="A460" t="str">
        <f t="shared" si="31"/>
        <v>549</v>
      </c>
      <c r="B460">
        <v>479</v>
      </c>
      <c r="C460" s="502" t="s">
        <v>2127</v>
      </c>
      <c r="D460" t="s">
        <v>2126</v>
      </c>
      <c r="E460">
        <f t="shared" si="32"/>
        <v>91</v>
      </c>
      <c r="F460">
        <f t="shared" si="33"/>
        <v>151</v>
      </c>
      <c r="G460">
        <f t="shared" si="34"/>
        <v>177</v>
      </c>
    </row>
    <row r="461" spans="1:7" x14ac:dyDescent="0.15">
      <c r="A461" t="str">
        <f t="shared" si="31"/>
        <v>550</v>
      </c>
      <c r="B461">
        <v>480</v>
      </c>
      <c r="C461" s="503" t="s">
        <v>2129</v>
      </c>
      <c r="D461" t="s">
        <v>2128</v>
      </c>
      <c r="E461">
        <f t="shared" si="32"/>
        <v>133</v>
      </c>
      <c r="F461">
        <f t="shared" si="33"/>
        <v>176</v>
      </c>
      <c r="G461">
        <f t="shared" si="34"/>
        <v>198</v>
      </c>
    </row>
    <row r="462" spans="1:7" x14ac:dyDescent="0.15">
      <c r="A462" t="str">
        <f t="shared" si="31"/>
        <v>551</v>
      </c>
      <c r="B462">
        <v>481</v>
      </c>
      <c r="C462" s="504" t="s">
        <v>2131</v>
      </c>
      <c r="D462" t="s">
        <v>2130</v>
      </c>
      <c r="E462">
        <f t="shared" si="32"/>
        <v>159</v>
      </c>
      <c r="F462">
        <f t="shared" si="33"/>
        <v>193</v>
      </c>
      <c r="G462">
        <f t="shared" si="34"/>
        <v>211</v>
      </c>
    </row>
    <row r="463" spans="1:7" x14ac:dyDescent="0.15">
      <c r="A463" t="str">
        <f t="shared" si="31"/>
        <v>552</v>
      </c>
      <c r="B463">
        <v>482</v>
      </c>
      <c r="C463" s="505" t="s">
        <v>2133</v>
      </c>
      <c r="D463" t="s">
        <v>2132</v>
      </c>
      <c r="E463">
        <f t="shared" si="32"/>
        <v>185</v>
      </c>
      <c r="F463">
        <f t="shared" si="33"/>
        <v>208</v>
      </c>
      <c r="G463">
        <f t="shared" si="34"/>
        <v>220</v>
      </c>
    </row>
    <row r="464" spans="1:7" x14ac:dyDescent="0.15">
      <c r="A464" t="str">
        <f t="shared" si="31"/>
        <v>553</v>
      </c>
      <c r="B464">
        <v>484</v>
      </c>
      <c r="C464" s="506" t="s">
        <v>2135</v>
      </c>
      <c r="D464" t="s">
        <v>2134</v>
      </c>
      <c r="E464">
        <f t="shared" si="32"/>
        <v>33</v>
      </c>
      <c r="F464">
        <f t="shared" si="33"/>
        <v>66</v>
      </c>
      <c r="G464">
        <f t="shared" si="34"/>
        <v>50</v>
      </c>
    </row>
    <row r="465" spans="1:7" x14ac:dyDescent="0.15">
      <c r="A465" t="str">
        <f t="shared" si="31"/>
        <v>554</v>
      </c>
      <c r="B465">
        <v>485</v>
      </c>
      <c r="C465" s="507" t="s">
        <v>2137</v>
      </c>
      <c r="D465" t="s">
        <v>2136</v>
      </c>
      <c r="E465">
        <f t="shared" si="32"/>
        <v>36</v>
      </c>
      <c r="F465">
        <f t="shared" si="33"/>
        <v>96</v>
      </c>
      <c r="G465">
        <f t="shared" si="34"/>
        <v>74</v>
      </c>
    </row>
    <row r="466" spans="1:7" x14ac:dyDescent="0.15">
      <c r="A466" t="str">
        <f t="shared" si="31"/>
        <v>555</v>
      </c>
      <c r="B466">
        <v>486</v>
      </c>
      <c r="C466" s="508" t="s">
        <v>2139</v>
      </c>
      <c r="D466" t="s">
        <v>2138</v>
      </c>
      <c r="E466">
        <f t="shared" si="32"/>
        <v>19</v>
      </c>
      <c r="F466">
        <f t="shared" si="33"/>
        <v>105</v>
      </c>
      <c r="G466">
        <f t="shared" si="34"/>
        <v>78</v>
      </c>
    </row>
    <row r="467" spans="1:7" x14ac:dyDescent="0.15">
      <c r="A467" t="str">
        <f t="shared" si="31"/>
        <v>556</v>
      </c>
      <c r="B467">
        <v>487</v>
      </c>
      <c r="C467" s="509" t="s">
        <v>2141</v>
      </c>
      <c r="D467" t="s">
        <v>2140</v>
      </c>
      <c r="E467">
        <f t="shared" si="32"/>
        <v>116</v>
      </c>
      <c r="F467">
        <f t="shared" si="33"/>
        <v>161</v>
      </c>
      <c r="G467">
        <f t="shared" si="34"/>
        <v>142</v>
      </c>
    </row>
    <row r="468" spans="1:7" x14ac:dyDescent="0.15">
      <c r="A468" t="str">
        <f t="shared" si="31"/>
        <v>557</v>
      </c>
      <c r="B468">
        <v>488</v>
      </c>
      <c r="C468" s="510" t="s">
        <v>2143</v>
      </c>
      <c r="D468" t="s">
        <v>2142</v>
      </c>
      <c r="E468">
        <f t="shared" si="32"/>
        <v>152</v>
      </c>
      <c r="F468">
        <f t="shared" si="33"/>
        <v>186</v>
      </c>
      <c r="G468">
        <f t="shared" si="34"/>
        <v>172</v>
      </c>
    </row>
    <row r="469" spans="1:7" x14ac:dyDescent="0.15">
      <c r="A469" t="str">
        <f t="shared" si="31"/>
        <v>558</v>
      </c>
      <c r="B469">
        <v>489</v>
      </c>
      <c r="C469" s="511" t="s">
        <v>2145</v>
      </c>
      <c r="D469" t="s">
        <v>2144</v>
      </c>
      <c r="E469">
        <f t="shared" si="32"/>
        <v>172</v>
      </c>
      <c r="F469">
        <f t="shared" si="33"/>
        <v>199</v>
      </c>
      <c r="G469">
        <f t="shared" si="34"/>
        <v>189</v>
      </c>
    </row>
    <row r="470" spans="1:7" x14ac:dyDescent="0.15">
      <c r="A470" t="str">
        <f t="shared" si="31"/>
        <v>559</v>
      </c>
      <c r="B470">
        <v>490</v>
      </c>
      <c r="C470" s="512" t="s">
        <v>2147</v>
      </c>
      <c r="D470" t="s">
        <v>2146</v>
      </c>
      <c r="E470">
        <f t="shared" si="32"/>
        <v>192</v>
      </c>
      <c r="F470">
        <f t="shared" si="33"/>
        <v>212</v>
      </c>
      <c r="G470">
        <f t="shared" si="34"/>
        <v>205</v>
      </c>
    </row>
    <row r="471" spans="1:7" x14ac:dyDescent="0.15">
      <c r="A471" t="str">
        <f t="shared" si="31"/>
        <v>560</v>
      </c>
      <c r="B471">
        <v>491</v>
      </c>
      <c r="C471" s="513" t="s">
        <v>2149</v>
      </c>
      <c r="D471" t="s">
        <v>2148</v>
      </c>
      <c r="E471">
        <f t="shared" si="32"/>
        <v>34</v>
      </c>
      <c r="F471">
        <f t="shared" si="33"/>
        <v>72</v>
      </c>
      <c r="G471">
        <f t="shared" si="34"/>
        <v>63</v>
      </c>
    </row>
    <row r="472" spans="1:7" x14ac:dyDescent="0.15">
      <c r="A472" t="str">
        <f t="shared" si="31"/>
        <v>561</v>
      </c>
      <c r="B472">
        <v>492</v>
      </c>
      <c r="C472" s="514" t="s">
        <v>2151</v>
      </c>
      <c r="D472" t="s">
        <v>2150</v>
      </c>
      <c r="E472">
        <f t="shared" si="32"/>
        <v>15</v>
      </c>
      <c r="F472">
        <f t="shared" si="33"/>
        <v>98</v>
      </c>
      <c r="G472">
        <f t="shared" si="34"/>
        <v>89</v>
      </c>
    </row>
    <row r="473" spans="1:7" x14ac:dyDescent="0.15">
      <c r="A473" t="str">
        <f t="shared" si="31"/>
        <v>562</v>
      </c>
      <c r="B473">
        <v>493</v>
      </c>
      <c r="C473" s="515" t="s">
        <v>2153</v>
      </c>
      <c r="D473" t="s">
        <v>2152</v>
      </c>
      <c r="E473">
        <f t="shared" si="32"/>
        <v>0</v>
      </c>
      <c r="F473">
        <f t="shared" si="33"/>
        <v>119</v>
      </c>
      <c r="G473">
        <f t="shared" si="34"/>
        <v>112</v>
      </c>
    </row>
    <row r="474" spans="1:7" x14ac:dyDescent="0.15">
      <c r="A474" t="str">
        <f t="shared" si="31"/>
        <v>563</v>
      </c>
      <c r="B474">
        <v>494</v>
      </c>
      <c r="C474" s="516" t="s">
        <v>2155</v>
      </c>
      <c r="D474" t="s">
        <v>2154</v>
      </c>
      <c r="E474">
        <f t="shared" si="32"/>
        <v>114</v>
      </c>
      <c r="F474">
        <f t="shared" si="33"/>
        <v>184</v>
      </c>
      <c r="G474">
        <f t="shared" si="34"/>
        <v>180</v>
      </c>
    </row>
    <row r="475" spans="1:7" x14ac:dyDescent="0.15">
      <c r="A475" t="str">
        <f t="shared" si="31"/>
        <v>564</v>
      </c>
      <c r="B475">
        <v>495</v>
      </c>
      <c r="C475" s="517" t="s">
        <v>2157</v>
      </c>
      <c r="D475" t="s">
        <v>2156</v>
      </c>
      <c r="E475">
        <f t="shared" si="32"/>
        <v>152</v>
      </c>
      <c r="F475">
        <f t="shared" si="33"/>
        <v>204</v>
      </c>
      <c r="G475">
        <f t="shared" si="34"/>
        <v>201</v>
      </c>
    </row>
    <row r="476" spans="1:7" x14ac:dyDescent="0.15">
      <c r="A476" t="str">
        <f t="shared" si="31"/>
        <v>565</v>
      </c>
      <c r="B476">
        <v>496</v>
      </c>
      <c r="C476" s="518" t="s">
        <v>2159</v>
      </c>
      <c r="D476" t="s">
        <v>2158</v>
      </c>
      <c r="E476">
        <f t="shared" si="32"/>
        <v>185</v>
      </c>
      <c r="F476">
        <f t="shared" si="33"/>
        <v>220</v>
      </c>
      <c r="G476">
        <f t="shared" si="34"/>
        <v>218</v>
      </c>
    </row>
    <row r="477" spans="1:7" x14ac:dyDescent="0.15">
      <c r="A477" t="str">
        <f t="shared" si="31"/>
        <v>566</v>
      </c>
      <c r="B477">
        <v>497</v>
      </c>
      <c r="C477" s="519" t="s">
        <v>2161</v>
      </c>
      <c r="D477" t="s">
        <v>2160</v>
      </c>
      <c r="E477">
        <f t="shared" si="32"/>
        <v>205</v>
      </c>
      <c r="F477">
        <f t="shared" si="33"/>
        <v>227</v>
      </c>
      <c r="G477">
        <f t="shared" si="34"/>
        <v>226</v>
      </c>
    </row>
    <row r="478" spans="1:7" x14ac:dyDescent="0.15">
      <c r="A478" t="str">
        <f t="shared" si="31"/>
        <v>567</v>
      </c>
      <c r="B478">
        <v>498</v>
      </c>
      <c r="C478" s="520" t="s">
        <v>2163</v>
      </c>
      <c r="D478" t="s">
        <v>2162</v>
      </c>
      <c r="E478">
        <f t="shared" si="32"/>
        <v>24</v>
      </c>
      <c r="F478">
        <f t="shared" si="33"/>
        <v>69</v>
      </c>
      <c r="G478">
        <f t="shared" si="34"/>
        <v>59</v>
      </c>
    </row>
    <row r="479" spans="1:7" x14ac:dyDescent="0.15">
      <c r="A479" t="str">
        <f t="shared" si="31"/>
        <v>569</v>
      </c>
      <c r="B479">
        <v>499</v>
      </c>
      <c r="C479" s="521" t="s">
        <v>2165</v>
      </c>
      <c r="D479" t="s">
        <v>2164</v>
      </c>
      <c r="E479">
        <f t="shared" si="32"/>
        <v>0</v>
      </c>
      <c r="F479">
        <f t="shared" si="33"/>
        <v>132</v>
      </c>
      <c r="G479">
        <f t="shared" si="34"/>
        <v>120</v>
      </c>
    </row>
    <row r="480" spans="1:7" x14ac:dyDescent="0.15">
      <c r="A480" t="str">
        <f t="shared" si="31"/>
        <v>570</v>
      </c>
      <c r="B480">
        <v>500</v>
      </c>
      <c r="C480" s="522" t="s">
        <v>2167</v>
      </c>
      <c r="D480" t="s">
        <v>2166</v>
      </c>
      <c r="E480">
        <f t="shared" si="32"/>
        <v>118</v>
      </c>
      <c r="F480">
        <f t="shared" si="33"/>
        <v>198</v>
      </c>
      <c r="G480">
        <f t="shared" si="34"/>
        <v>190</v>
      </c>
    </row>
    <row r="481" spans="1:7" x14ac:dyDescent="0.15">
      <c r="A481" t="str">
        <f t="shared" si="31"/>
        <v>571</v>
      </c>
      <c r="B481">
        <v>501</v>
      </c>
      <c r="C481" s="523" t="s">
        <v>2169</v>
      </c>
      <c r="D481" t="s">
        <v>2168</v>
      </c>
      <c r="E481">
        <f t="shared" si="32"/>
        <v>157</v>
      </c>
      <c r="F481">
        <f t="shared" si="33"/>
        <v>214</v>
      </c>
      <c r="G481">
        <f t="shared" si="34"/>
        <v>207</v>
      </c>
    </row>
    <row r="482" spans="1:7" x14ac:dyDescent="0.15">
      <c r="A482" t="str">
        <f t="shared" si="31"/>
        <v>572</v>
      </c>
      <c r="B482">
        <v>502</v>
      </c>
      <c r="C482" s="524" t="s">
        <v>2171</v>
      </c>
      <c r="D482" t="s">
        <v>2170</v>
      </c>
      <c r="E482">
        <f t="shared" si="32"/>
        <v>180</v>
      </c>
      <c r="F482">
        <f t="shared" si="33"/>
        <v>222</v>
      </c>
      <c r="G482">
        <f t="shared" si="34"/>
        <v>219</v>
      </c>
    </row>
    <row r="483" spans="1:7" x14ac:dyDescent="0.15">
      <c r="A483" t="str">
        <f t="shared" si="31"/>
        <v>573</v>
      </c>
      <c r="B483">
        <v>503</v>
      </c>
      <c r="C483" s="525" t="s">
        <v>2173</v>
      </c>
      <c r="D483" t="s">
        <v>2172</v>
      </c>
      <c r="E483">
        <f t="shared" si="32"/>
        <v>193</v>
      </c>
      <c r="F483">
        <f t="shared" si="33"/>
        <v>226</v>
      </c>
      <c r="G483">
        <f t="shared" si="34"/>
        <v>222</v>
      </c>
    </row>
    <row r="484" spans="1:7" x14ac:dyDescent="0.15">
      <c r="A484" t="str">
        <f t="shared" si="31"/>
        <v>574</v>
      </c>
      <c r="B484">
        <v>505</v>
      </c>
      <c r="C484" s="526" t="s">
        <v>2175</v>
      </c>
      <c r="D484" t="s">
        <v>2174</v>
      </c>
      <c r="E484">
        <f t="shared" si="32"/>
        <v>64</v>
      </c>
      <c r="F484">
        <f t="shared" si="33"/>
        <v>79</v>
      </c>
      <c r="G484">
        <f t="shared" si="34"/>
        <v>36</v>
      </c>
    </row>
    <row r="485" spans="1:7" x14ac:dyDescent="0.15">
      <c r="A485" t="str">
        <f t="shared" si="31"/>
        <v>575</v>
      </c>
      <c r="B485">
        <v>506</v>
      </c>
      <c r="C485" s="527" t="s">
        <v>2177</v>
      </c>
      <c r="D485" t="s">
        <v>2176</v>
      </c>
      <c r="E485">
        <f t="shared" si="32"/>
        <v>86</v>
      </c>
      <c r="F485">
        <f t="shared" si="33"/>
        <v>115</v>
      </c>
      <c r="G485">
        <f t="shared" si="34"/>
        <v>46</v>
      </c>
    </row>
    <row r="486" spans="1:7" x14ac:dyDescent="0.15">
      <c r="A486" t="str">
        <f t="shared" si="31"/>
        <v>576</v>
      </c>
      <c r="B486">
        <v>507</v>
      </c>
      <c r="C486" s="528" t="s">
        <v>2179</v>
      </c>
      <c r="D486" t="s">
        <v>2178</v>
      </c>
      <c r="E486">
        <f t="shared" si="32"/>
        <v>102</v>
      </c>
      <c r="F486">
        <f t="shared" si="33"/>
        <v>142</v>
      </c>
      <c r="G486">
        <f t="shared" si="34"/>
        <v>60</v>
      </c>
    </row>
    <row r="487" spans="1:7" x14ac:dyDescent="0.15">
      <c r="A487" t="str">
        <f t="shared" si="31"/>
        <v>577</v>
      </c>
      <c r="B487">
        <v>508</v>
      </c>
      <c r="C487" s="529" t="s">
        <v>2181</v>
      </c>
      <c r="D487" t="s">
        <v>2180</v>
      </c>
      <c r="E487">
        <f t="shared" si="32"/>
        <v>178</v>
      </c>
      <c r="F487">
        <f t="shared" si="33"/>
        <v>200</v>
      </c>
      <c r="G487">
        <f t="shared" si="34"/>
        <v>145</v>
      </c>
    </row>
    <row r="488" spans="1:7" x14ac:dyDescent="0.15">
      <c r="A488" t="str">
        <f t="shared" si="31"/>
        <v>578</v>
      </c>
      <c r="B488">
        <v>509</v>
      </c>
      <c r="C488" s="530" t="s">
        <v>2183</v>
      </c>
      <c r="D488" t="s">
        <v>2182</v>
      </c>
      <c r="E488">
        <f t="shared" si="32"/>
        <v>189</v>
      </c>
      <c r="F488">
        <f t="shared" si="33"/>
        <v>208</v>
      </c>
      <c r="G488">
        <f t="shared" si="34"/>
        <v>160</v>
      </c>
    </row>
    <row r="489" spans="1:7" x14ac:dyDescent="0.15">
      <c r="A489" t="str">
        <f t="shared" si="31"/>
        <v>579</v>
      </c>
      <c r="B489">
        <v>510</v>
      </c>
      <c r="C489" s="531" t="s">
        <v>2185</v>
      </c>
      <c r="D489" t="s">
        <v>2184</v>
      </c>
      <c r="E489">
        <f t="shared" si="32"/>
        <v>197</v>
      </c>
      <c r="F489">
        <f t="shared" si="33"/>
        <v>213</v>
      </c>
      <c r="G489">
        <f t="shared" si="34"/>
        <v>169</v>
      </c>
    </row>
    <row r="490" spans="1:7" x14ac:dyDescent="0.15">
      <c r="A490" t="str">
        <f t="shared" si="31"/>
        <v>580</v>
      </c>
      <c r="B490">
        <v>511</v>
      </c>
      <c r="C490" s="532" t="s">
        <v>2187</v>
      </c>
      <c r="D490" t="s">
        <v>2186</v>
      </c>
      <c r="E490">
        <f t="shared" si="32"/>
        <v>207</v>
      </c>
      <c r="F490">
        <f t="shared" si="33"/>
        <v>221</v>
      </c>
      <c r="G490">
        <f t="shared" si="34"/>
        <v>187</v>
      </c>
    </row>
    <row r="491" spans="1:7" x14ac:dyDescent="0.15">
      <c r="A491" t="str">
        <f t="shared" si="31"/>
        <v>581</v>
      </c>
      <c r="B491">
        <v>512</v>
      </c>
      <c r="C491" s="533" t="s">
        <v>2189</v>
      </c>
      <c r="D491" t="s">
        <v>2188</v>
      </c>
      <c r="E491">
        <f t="shared" si="32"/>
        <v>96</v>
      </c>
      <c r="F491">
        <f t="shared" si="33"/>
        <v>90</v>
      </c>
      <c r="G491">
        <f t="shared" si="34"/>
        <v>18</v>
      </c>
    </row>
    <row r="492" spans="1:7" x14ac:dyDescent="0.15">
      <c r="A492" t="str">
        <f t="shared" si="31"/>
        <v>582</v>
      </c>
      <c r="B492">
        <v>513</v>
      </c>
      <c r="C492" s="534" t="s">
        <v>2191</v>
      </c>
      <c r="D492" t="s">
        <v>2190</v>
      </c>
      <c r="E492">
        <f t="shared" si="32"/>
        <v>136</v>
      </c>
      <c r="F492">
        <f t="shared" si="33"/>
        <v>134</v>
      </c>
      <c r="G492">
        <f t="shared" si="34"/>
        <v>0</v>
      </c>
    </row>
    <row r="493" spans="1:7" x14ac:dyDescent="0.15">
      <c r="A493" t="str">
        <f t="shared" si="31"/>
        <v>583</v>
      </c>
      <c r="B493">
        <v>514</v>
      </c>
      <c r="C493" s="535" t="s">
        <v>2193</v>
      </c>
      <c r="D493" t="s">
        <v>2192</v>
      </c>
      <c r="E493">
        <f t="shared" si="32"/>
        <v>171</v>
      </c>
      <c r="F493">
        <f t="shared" si="33"/>
        <v>180</v>
      </c>
      <c r="G493">
        <f t="shared" si="34"/>
        <v>0</v>
      </c>
    </row>
    <row r="494" spans="1:7" x14ac:dyDescent="0.15">
      <c r="A494" t="str">
        <f t="shared" si="31"/>
        <v>584</v>
      </c>
      <c r="B494">
        <v>515</v>
      </c>
      <c r="C494" s="536" t="s">
        <v>2195</v>
      </c>
      <c r="D494" t="s">
        <v>2194</v>
      </c>
      <c r="E494">
        <f t="shared" si="32"/>
        <v>203</v>
      </c>
      <c r="F494">
        <f t="shared" si="33"/>
        <v>211</v>
      </c>
      <c r="G494">
        <f t="shared" si="34"/>
        <v>76</v>
      </c>
    </row>
    <row r="495" spans="1:7" x14ac:dyDescent="0.15">
      <c r="A495" t="str">
        <f t="shared" si="31"/>
        <v>585</v>
      </c>
      <c r="B495">
        <v>516</v>
      </c>
      <c r="C495" s="537" t="s">
        <v>2197</v>
      </c>
      <c r="D495" t="s">
        <v>2196</v>
      </c>
      <c r="E495">
        <f t="shared" si="32"/>
        <v>216</v>
      </c>
      <c r="F495">
        <f t="shared" si="33"/>
        <v>219</v>
      </c>
      <c r="G495">
        <f t="shared" si="34"/>
        <v>111</v>
      </c>
    </row>
    <row r="496" spans="1:7" x14ac:dyDescent="0.15">
      <c r="A496" t="str">
        <f t="shared" si="31"/>
        <v>586</v>
      </c>
      <c r="B496">
        <v>517</v>
      </c>
      <c r="C496" s="538" t="s">
        <v>2199</v>
      </c>
      <c r="D496" t="s">
        <v>2198</v>
      </c>
      <c r="E496">
        <f t="shared" si="32"/>
        <v>221</v>
      </c>
      <c r="F496">
        <f t="shared" si="33"/>
        <v>225</v>
      </c>
      <c r="G496">
        <f t="shared" si="34"/>
        <v>138</v>
      </c>
    </row>
    <row r="497" spans="1:7" x14ac:dyDescent="0.15">
      <c r="A497" t="str">
        <f t="shared" si="31"/>
        <v>587</v>
      </c>
      <c r="B497">
        <v>518</v>
      </c>
      <c r="C497" s="539" t="s">
        <v>2201</v>
      </c>
      <c r="D497" t="s">
        <v>2200</v>
      </c>
      <c r="E497">
        <f t="shared" si="32"/>
        <v>226</v>
      </c>
      <c r="F497">
        <f t="shared" si="33"/>
        <v>229</v>
      </c>
      <c r="G497">
        <f t="shared" si="34"/>
        <v>159</v>
      </c>
    </row>
    <row r="498" spans="1:7" x14ac:dyDescent="0.15">
      <c r="A498" t="str">
        <f t="shared" si="31"/>
        <v>600</v>
      </c>
      <c r="B498">
        <v>519</v>
      </c>
      <c r="C498" s="540" t="s">
        <v>2203</v>
      </c>
      <c r="D498" t="s">
        <v>2202</v>
      </c>
      <c r="E498">
        <f t="shared" si="32"/>
        <v>238</v>
      </c>
      <c r="F498">
        <f t="shared" si="33"/>
        <v>235</v>
      </c>
      <c r="G498">
        <f t="shared" si="34"/>
        <v>182</v>
      </c>
    </row>
    <row r="499" spans="1:7" x14ac:dyDescent="0.15">
      <c r="A499" t="str">
        <f t="shared" si="31"/>
        <v>601</v>
      </c>
      <c r="B499">
        <v>520</v>
      </c>
      <c r="C499" s="541" t="s">
        <v>2205</v>
      </c>
      <c r="D499" t="s">
        <v>2204</v>
      </c>
      <c r="E499">
        <f t="shared" si="32"/>
        <v>238</v>
      </c>
      <c r="F499">
        <f t="shared" si="33"/>
        <v>234</v>
      </c>
      <c r="G499">
        <f t="shared" si="34"/>
        <v>165</v>
      </c>
    </row>
    <row r="500" spans="1:7" x14ac:dyDescent="0.15">
      <c r="A500" t="str">
        <f t="shared" si="31"/>
        <v>602</v>
      </c>
      <c r="B500">
        <v>521</v>
      </c>
      <c r="C500" s="542" t="s">
        <v>2207</v>
      </c>
      <c r="D500" t="s">
        <v>2206</v>
      </c>
      <c r="E500">
        <f t="shared" si="32"/>
        <v>238</v>
      </c>
      <c r="F500">
        <f t="shared" si="33"/>
        <v>232</v>
      </c>
      <c r="G500">
        <f t="shared" si="34"/>
        <v>141</v>
      </c>
    </row>
    <row r="501" spans="1:7" x14ac:dyDescent="0.15">
      <c r="A501" t="str">
        <f t="shared" si="31"/>
        <v>603</v>
      </c>
      <c r="B501">
        <v>522</v>
      </c>
      <c r="C501" s="543" t="s">
        <v>2209</v>
      </c>
      <c r="D501" t="s">
        <v>2208</v>
      </c>
      <c r="E501">
        <f t="shared" si="32"/>
        <v>237</v>
      </c>
      <c r="F501">
        <f t="shared" si="33"/>
        <v>226</v>
      </c>
      <c r="G501">
        <f t="shared" si="34"/>
        <v>94</v>
      </c>
    </row>
    <row r="502" spans="1:7" x14ac:dyDescent="0.15">
      <c r="A502" t="str">
        <f t="shared" si="31"/>
        <v>604</v>
      </c>
      <c r="B502">
        <v>523</v>
      </c>
      <c r="C502" s="544" t="s">
        <v>2211</v>
      </c>
      <c r="D502" t="s">
        <v>2210</v>
      </c>
      <c r="E502">
        <f t="shared" si="32"/>
        <v>234</v>
      </c>
      <c r="F502">
        <f t="shared" si="33"/>
        <v>219</v>
      </c>
      <c r="G502">
        <f t="shared" si="34"/>
        <v>27</v>
      </c>
    </row>
    <row r="503" spans="1:7" x14ac:dyDescent="0.15">
      <c r="A503" t="str">
        <f t="shared" si="31"/>
        <v>605</v>
      </c>
      <c r="B503">
        <v>524</v>
      </c>
      <c r="C503" s="545" t="s">
        <v>2213</v>
      </c>
      <c r="D503" t="s">
        <v>2212</v>
      </c>
      <c r="E503">
        <f t="shared" si="32"/>
        <v>224</v>
      </c>
      <c r="F503">
        <f t="shared" si="33"/>
        <v>202</v>
      </c>
      <c r="G503">
        <f t="shared" si="34"/>
        <v>0</v>
      </c>
    </row>
    <row r="504" spans="1:7" x14ac:dyDescent="0.15">
      <c r="A504" t="str">
        <f t="shared" si="31"/>
        <v>606</v>
      </c>
      <c r="B504">
        <v>525</v>
      </c>
      <c r="C504" s="546" t="s">
        <v>2215</v>
      </c>
      <c r="D504" t="s">
        <v>2214</v>
      </c>
      <c r="E504">
        <f t="shared" si="32"/>
        <v>216</v>
      </c>
      <c r="F504">
        <f t="shared" si="33"/>
        <v>189</v>
      </c>
      <c r="G504">
        <f t="shared" si="34"/>
        <v>0</v>
      </c>
    </row>
    <row r="505" spans="1:7" x14ac:dyDescent="0.15">
      <c r="A505" t="str">
        <f t="shared" si="31"/>
        <v>607</v>
      </c>
      <c r="B505">
        <v>527</v>
      </c>
      <c r="C505" s="547" t="s">
        <v>2217</v>
      </c>
      <c r="D505" t="s">
        <v>2216</v>
      </c>
      <c r="E505">
        <f t="shared" si="32"/>
        <v>235</v>
      </c>
      <c r="F505">
        <f t="shared" si="33"/>
        <v>233</v>
      </c>
      <c r="G505">
        <f t="shared" si="34"/>
        <v>195</v>
      </c>
    </row>
    <row r="506" spans="1:7" x14ac:dyDescent="0.15">
      <c r="A506" t="str">
        <f t="shared" si="31"/>
        <v>608</v>
      </c>
      <c r="B506">
        <v>528</v>
      </c>
      <c r="C506" s="548" t="s">
        <v>2219</v>
      </c>
      <c r="D506" t="s">
        <v>2218</v>
      </c>
      <c r="E506">
        <f t="shared" si="32"/>
        <v>233</v>
      </c>
      <c r="F506">
        <f t="shared" si="33"/>
        <v>230</v>
      </c>
      <c r="G506">
        <f t="shared" si="34"/>
        <v>180</v>
      </c>
    </row>
    <row r="507" spans="1:7" x14ac:dyDescent="0.15">
      <c r="A507" t="str">
        <f t="shared" si="31"/>
        <v>609</v>
      </c>
      <c r="B507">
        <v>529</v>
      </c>
      <c r="C507" s="549" t="s">
        <v>2221</v>
      </c>
      <c r="D507" t="s">
        <v>2220</v>
      </c>
      <c r="E507">
        <f t="shared" si="32"/>
        <v>231</v>
      </c>
      <c r="F507">
        <f t="shared" si="33"/>
        <v>226</v>
      </c>
      <c r="G507">
        <f t="shared" si="34"/>
        <v>154</v>
      </c>
    </row>
    <row r="508" spans="1:7" x14ac:dyDescent="0.15">
      <c r="A508" t="str">
        <f t="shared" si="31"/>
        <v>610</v>
      </c>
      <c r="B508">
        <v>530</v>
      </c>
      <c r="C508" s="550" t="s">
        <v>2223</v>
      </c>
      <c r="D508" t="s">
        <v>2222</v>
      </c>
      <c r="E508">
        <f t="shared" si="32"/>
        <v>226</v>
      </c>
      <c r="F508">
        <f t="shared" si="33"/>
        <v>217</v>
      </c>
      <c r="G508">
        <f t="shared" si="34"/>
        <v>115</v>
      </c>
    </row>
    <row r="509" spans="1:7" x14ac:dyDescent="0.15">
      <c r="A509" t="str">
        <f t="shared" si="31"/>
        <v>611</v>
      </c>
      <c r="B509">
        <v>531</v>
      </c>
      <c r="C509" s="551" t="s">
        <v>2225</v>
      </c>
      <c r="D509" t="s">
        <v>2224</v>
      </c>
      <c r="E509">
        <f t="shared" si="32"/>
        <v>216</v>
      </c>
      <c r="F509">
        <f t="shared" si="33"/>
        <v>204</v>
      </c>
      <c r="G509">
        <f t="shared" si="34"/>
        <v>70</v>
      </c>
    </row>
    <row r="510" spans="1:7" x14ac:dyDescent="0.15">
      <c r="A510" t="str">
        <f t="shared" si="31"/>
        <v>612</v>
      </c>
      <c r="B510">
        <v>532</v>
      </c>
      <c r="C510" s="552" t="s">
        <v>2227</v>
      </c>
      <c r="D510" t="s">
        <v>2226</v>
      </c>
      <c r="E510">
        <f t="shared" si="32"/>
        <v>196</v>
      </c>
      <c r="F510">
        <f t="shared" si="33"/>
        <v>179</v>
      </c>
      <c r="G510">
        <f t="shared" si="34"/>
        <v>0</v>
      </c>
    </row>
    <row r="511" spans="1:7" x14ac:dyDescent="0.15">
      <c r="A511" t="str">
        <f t="shared" si="31"/>
        <v>613</v>
      </c>
      <c r="B511">
        <v>533</v>
      </c>
      <c r="C511" s="553" t="s">
        <v>2229</v>
      </c>
      <c r="D511" t="s">
        <v>2228</v>
      </c>
      <c r="E511">
        <f t="shared" si="32"/>
        <v>179</v>
      </c>
      <c r="F511">
        <f t="shared" si="33"/>
        <v>157</v>
      </c>
      <c r="G511">
        <f t="shared" si="34"/>
        <v>0</v>
      </c>
    </row>
    <row r="512" spans="1:7" x14ac:dyDescent="0.15">
      <c r="A512" t="str">
        <f t="shared" si="31"/>
        <v>614</v>
      </c>
      <c r="B512">
        <v>534</v>
      </c>
      <c r="C512" s="554" t="s">
        <v>2231</v>
      </c>
      <c r="D512" t="s">
        <v>2230</v>
      </c>
      <c r="E512">
        <f t="shared" si="32"/>
        <v>227</v>
      </c>
      <c r="F512">
        <f t="shared" si="33"/>
        <v>225</v>
      </c>
      <c r="G512">
        <f t="shared" si="34"/>
        <v>193</v>
      </c>
    </row>
    <row r="513" spans="1:7" x14ac:dyDescent="0.15">
      <c r="A513" t="str">
        <f t="shared" si="31"/>
        <v>615</v>
      </c>
      <c r="B513">
        <v>535</v>
      </c>
      <c r="C513" s="555" t="s">
        <v>2233</v>
      </c>
      <c r="D513" t="s">
        <v>2232</v>
      </c>
      <c r="E513">
        <f t="shared" si="32"/>
        <v>221</v>
      </c>
      <c r="F513">
        <f t="shared" si="33"/>
        <v>219</v>
      </c>
      <c r="G513">
        <f t="shared" si="34"/>
        <v>177</v>
      </c>
    </row>
    <row r="514" spans="1:7" x14ac:dyDescent="0.15">
      <c r="A514" t="str">
        <f t="shared" si="31"/>
        <v>616</v>
      </c>
      <c r="B514">
        <v>536</v>
      </c>
      <c r="C514" s="556" t="s">
        <v>2235</v>
      </c>
      <c r="D514" t="s">
        <v>2234</v>
      </c>
      <c r="E514">
        <f t="shared" si="32"/>
        <v>215</v>
      </c>
      <c r="F514">
        <f t="shared" si="33"/>
        <v>210</v>
      </c>
      <c r="G514">
        <f t="shared" si="34"/>
        <v>157</v>
      </c>
    </row>
    <row r="515" spans="1:7" x14ac:dyDescent="0.15">
      <c r="A515" t="str">
        <f t="shared" ref="A515:A578" si="35">LEFT(D515,LEN(D515)-1)</f>
        <v>617</v>
      </c>
      <c r="B515">
        <v>537</v>
      </c>
      <c r="C515" s="557" t="s">
        <v>2237</v>
      </c>
      <c r="D515" t="s">
        <v>2236</v>
      </c>
      <c r="E515">
        <f t="shared" si="32"/>
        <v>201</v>
      </c>
      <c r="F515">
        <f t="shared" si="33"/>
        <v>195</v>
      </c>
      <c r="G515">
        <f t="shared" si="34"/>
        <v>127</v>
      </c>
    </row>
    <row r="516" spans="1:7" x14ac:dyDescent="0.15">
      <c r="A516" t="str">
        <f t="shared" si="35"/>
        <v>618</v>
      </c>
      <c r="B516">
        <v>538</v>
      </c>
      <c r="C516" s="558" t="s">
        <v>2239</v>
      </c>
      <c r="D516" t="s">
        <v>2238</v>
      </c>
      <c r="E516">
        <f t="shared" si="32"/>
        <v>180</v>
      </c>
      <c r="F516">
        <f t="shared" si="33"/>
        <v>168</v>
      </c>
      <c r="G516">
        <f t="shared" si="34"/>
        <v>81</v>
      </c>
    </row>
    <row r="517" spans="1:7" x14ac:dyDescent="0.15">
      <c r="A517" t="str">
        <f t="shared" si="35"/>
        <v>619</v>
      </c>
      <c r="B517">
        <v>539</v>
      </c>
      <c r="C517" s="559" t="s">
        <v>2241</v>
      </c>
      <c r="D517" t="s">
        <v>2240</v>
      </c>
      <c r="E517">
        <f t="shared" si="32"/>
        <v>156</v>
      </c>
      <c r="F517">
        <f t="shared" si="33"/>
        <v>142</v>
      </c>
      <c r="G517">
        <f t="shared" si="34"/>
        <v>42</v>
      </c>
    </row>
    <row r="518" spans="1:7" x14ac:dyDescent="0.15">
      <c r="A518" t="str">
        <f t="shared" si="35"/>
        <v>620</v>
      </c>
      <c r="B518">
        <v>540</v>
      </c>
      <c r="C518" s="560" t="s">
        <v>2243</v>
      </c>
      <c r="D518" t="s">
        <v>2242</v>
      </c>
      <c r="E518">
        <f t="shared" ref="E518:E581" si="36">HEX2DEC(MID(C518,2,2))</f>
        <v>136</v>
      </c>
      <c r="F518">
        <f t="shared" ref="F518:F581" si="37">HEX2DEC(MID(C518,4,2))</f>
        <v>120</v>
      </c>
      <c r="G518">
        <f t="shared" ref="G518:G581" si="38">HEX2DEC(MID(C518,6,2))</f>
        <v>17</v>
      </c>
    </row>
    <row r="519" spans="1:7" x14ac:dyDescent="0.15">
      <c r="A519" t="str">
        <f t="shared" si="35"/>
        <v>621</v>
      </c>
      <c r="B519">
        <v>541</v>
      </c>
      <c r="C519" s="561" t="s">
        <v>2245</v>
      </c>
      <c r="D519" t="s">
        <v>2244</v>
      </c>
      <c r="E519">
        <f t="shared" si="36"/>
        <v>210</v>
      </c>
      <c r="F519">
        <f t="shared" si="37"/>
        <v>223</v>
      </c>
      <c r="G519">
        <f t="shared" si="38"/>
        <v>220</v>
      </c>
    </row>
    <row r="520" spans="1:7" x14ac:dyDescent="0.15">
      <c r="A520" t="str">
        <f t="shared" si="35"/>
        <v>622</v>
      </c>
      <c r="B520">
        <v>542</v>
      </c>
      <c r="C520" s="562" t="s">
        <v>2247</v>
      </c>
      <c r="D520" t="s">
        <v>2246</v>
      </c>
      <c r="E520">
        <f t="shared" si="36"/>
        <v>189</v>
      </c>
      <c r="F520">
        <f t="shared" si="37"/>
        <v>210</v>
      </c>
      <c r="G520">
        <f t="shared" si="38"/>
        <v>204</v>
      </c>
    </row>
    <row r="521" spans="1:7" x14ac:dyDescent="0.15">
      <c r="A521" t="str">
        <f t="shared" si="35"/>
        <v>623</v>
      </c>
      <c r="B521">
        <v>543</v>
      </c>
      <c r="C521" s="563" t="s">
        <v>2249</v>
      </c>
      <c r="D521" t="s">
        <v>2248</v>
      </c>
      <c r="E521">
        <f t="shared" si="36"/>
        <v>158</v>
      </c>
      <c r="F521">
        <f t="shared" si="37"/>
        <v>188</v>
      </c>
      <c r="G521">
        <f t="shared" si="38"/>
        <v>179</v>
      </c>
    </row>
    <row r="522" spans="1:7" x14ac:dyDescent="0.15">
      <c r="A522" t="str">
        <f t="shared" si="35"/>
        <v>624</v>
      </c>
      <c r="B522">
        <v>544</v>
      </c>
      <c r="C522" s="564" t="s">
        <v>2251</v>
      </c>
      <c r="D522" t="s">
        <v>2250</v>
      </c>
      <c r="E522">
        <f t="shared" si="36"/>
        <v>120</v>
      </c>
      <c r="F522">
        <f t="shared" si="37"/>
        <v>160</v>
      </c>
      <c r="G522">
        <f t="shared" si="38"/>
        <v>149</v>
      </c>
    </row>
    <row r="523" spans="1:7" x14ac:dyDescent="0.15">
      <c r="A523" t="str">
        <f t="shared" si="35"/>
        <v>625</v>
      </c>
      <c r="B523">
        <v>545</v>
      </c>
      <c r="C523" s="565" t="s">
        <v>2253</v>
      </c>
      <c r="D523" t="s">
        <v>2252</v>
      </c>
      <c r="E523">
        <f t="shared" si="36"/>
        <v>81</v>
      </c>
      <c r="F523">
        <f t="shared" si="37"/>
        <v>130</v>
      </c>
      <c r="G523">
        <f t="shared" si="38"/>
        <v>116</v>
      </c>
    </row>
    <row r="524" spans="1:7" x14ac:dyDescent="0.15">
      <c r="A524" t="str">
        <f t="shared" si="35"/>
        <v>626</v>
      </c>
      <c r="B524">
        <v>546</v>
      </c>
      <c r="C524" s="566" t="s">
        <v>2255</v>
      </c>
      <c r="D524" t="s">
        <v>2254</v>
      </c>
      <c r="E524">
        <f t="shared" si="36"/>
        <v>31</v>
      </c>
      <c r="F524">
        <f t="shared" si="37"/>
        <v>86</v>
      </c>
      <c r="G524">
        <f t="shared" si="38"/>
        <v>71</v>
      </c>
    </row>
    <row r="525" spans="1:7" x14ac:dyDescent="0.15">
      <c r="A525" t="str">
        <f t="shared" si="35"/>
        <v>627</v>
      </c>
      <c r="B525">
        <v>547</v>
      </c>
      <c r="C525" s="567" t="s">
        <v>2257</v>
      </c>
      <c r="D525" t="s">
        <v>2256</v>
      </c>
      <c r="E525">
        <f t="shared" si="36"/>
        <v>3</v>
      </c>
      <c r="F525">
        <f t="shared" si="37"/>
        <v>45</v>
      </c>
      <c r="G525">
        <f t="shared" si="38"/>
        <v>35</v>
      </c>
    </row>
    <row r="526" spans="1:7" x14ac:dyDescent="0.15">
      <c r="A526" t="str">
        <f t="shared" si="35"/>
        <v>628</v>
      </c>
      <c r="B526">
        <v>548</v>
      </c>
      <c r="C526" s="568" t="s">
        <v>2259</v>
      </c>
      <c r="D526" t="s">
        <v>2258</v>
      </c>
      <c r="E526">
        <f t="shared" si="36"/>
        <v>200</v>
      </c>
      <c r="F526">
        <f t="shared" si="37"/>
        <v>226</v>
      </c>
      <c r="G526">
        <f t="shared" si="38"/>
        <v>232</v>
      </c>
    </row>
    <row r="527" spans="1:7" x14ac:dyDescent="0.15">
      <c r="A527" t="str">
        <f t="shared" si="35"/>
        <v>629</v>
      </c>
      <c r="B527">
        <v>549</v>
      </c>
      <c r="C527" s="569" t="s">
        <v>2261</v>
      </c>
      <c r="D527" t="s">
        <v>2260</v>
      </c>
      <c r="E527">
        <f t="shared" si="36"/>
        <v>170</v>
      </c>
      <c r="F527">
        <f t="shared" si="37"/>
        <v>218</v>
      </c>
      <c r="G527">
        <f t="shared" si="38"/>
        <v>229</v>
      </c>
    </row>
    <row r="528" spans="1:7" x14ac:dyDescent="0.15">
      <c r="A528" t="str">
        <f t="shared" si="35"/>
        <v>630</v>
      </c>
      <c r="B528">
        <v>550</v>
      </c>
      <c r="C528" s="570" t="s">
        <v>2263</v>
      </c>
      <c r="D528" t="s">
        <v>2262</v>
      </c>
      <c r="E528">
        <f t="shared" si="36"/>
        <v>130</v>
      </c>
      <c r="F528">
        <f t="shared" si="37"/>
        <v>203</v>
      </c>
      <c r="G528">
        <f t="shared" si="38"/>
        <v>221</v>
      </c>
    </row>
    <row r="529" spans="1:7" x14ac:dyDescent="0.15">
      <c r="A529" t="str">
        <f t="shared" si="35"/>
        <v>631</v>
      </c>
      <c r="B529">
        <v>551</v>
      </c>
      <c r="C529" s="571" t="s">
        <v>2265</v>
      </c>
      <c r="D529" t="s">
        <v>2264</v>
      </c>
      <c r="E529">
        <f t="shared" si="36"/>
        <v>72</v>
      </c>
      <c r="F529">
        <f t="shared" si="37"/>
        <v>184</v>
      </c>
      <c r="G529">
        <f t="shared" si="38"/>
        <v>210</v>
      </c>
    </row>
    <row r="530" spans="1:7" x14ac:dyDescent="0.15">
      <c r="A530" t="str">
        <f t="shared" si="35"/>
        <v>632</v>
      </c>
      <c r="B530">
        <v>552</v>
      </c>
      <c r="C530" s="572" t="s">
        <v>2267</v>
      </c>
      <c r="D530" t="s">
        <v>2266</v>
      </c>
      <c r="E530">
        <f t="shared" si="36"/>
        <v>0</v>
      </c>
      <c r="F530">
        <f t="shared" si="37"/>
        <v>158</v>
      </c>
      <c r="G530">
        <f t="shared" si="38"/>
        <v>192</v>
      </c>
    </row>
    <row r="531" spans="1:7" x14ac:dyDescent="0.15">
      <c r="A531" t="str">
        <f t="shared" si="35"/>
        <v>633</v>
      </c>
      <c r="B531">
        <v>553</v>
      </c>
      <c r="C531" s="573" t="s">
        <v>2269</v>
      </c>
      <c r="D531" t="s">
        <v>2268</v>
      </c>
      <c r="E531">
        <f t="shared" si="36"/>
        <v>0</v>
      </c>
      <c r="F531">
        <f t="shared" si="37"/>
        <v>124</v>
      </c>
      <c r="G531">
        <f t="shared" si="38"/>
        <v>164</v>
      </c>
    </row>
    <row r="532" spans="1:7" x14ac:dyDescent="0.15">
      <c r="A532" t="str">
        <f t="shared" si="35"/>
        <v>634</v>
      </c>
      <c r="B532">
        <v>554</v>
      </c>
      <c r="C532" s="574" t="s">
        <v>2271</v>
      </c>
      <c r="D532" t="s">
        <v>2270</v>
      </c>
      <c r="E532">
        <f t="shared" si="36"/>
        <v>0</v>
      </c>
      <c r="F532">
        <f t="shared" si="37"/>
        <v>98</v>
      </c>
      <c r="G532">
        <f t="shared" si="38"/>
        <v>140</v>
      </c>
    </row>
    <row r="533" spans="1:7" x14ac:dyDescent="0.15">
      <c r="A533" t="str">
        <f t="shared" si="35"/>
        <v>635</v>
      </c>
      <c r="B533">
        <v>555</v>
      </c>
      <c r="C533" s="575" t="s">
        <v>2273</v>
      </c>
      <c r="D533" t="s">
        <v>2272</v>
      </c>
      <c r="E533">
        <f t="shared" si="36"/>
        <v>173</v>
      </c>
      <c r="F533">
        <f t="shared" si="37"/>
        <v>221</v>
      </c>
      <c r="G533">
        <f t="shared" si="38"/>
        <v>235</v>
      </c>
    </row>
    <row r="534" spans="1:7" x14ac:dyDescent="0.15">
      <c r="A534" t="str">
        <f t="shared" si="35"/>
        <v>636</v>
      </c>
      <c r="B534">
        <v>556</v>
      </c>
      <c r="C534" s="576" t="s">
        <v>2275</v>
      </c>
      <c r="D534" t="s">
        <v>2274</v>
      </c>
      <c r="E534">
        <f t="shared" si="36"/>
        <v>141</v>
      </c>
      <c r="F534">
        <f t="shared" si="37"/>
        <v>212</v>
      </c>
      <c r="G534">
        <f t="shared" si="38"/>
        <v>233</v>
      </c>
    </row>
    <row r="535" spans="1:7" x14ac:dyDescent="0.15">
      <c r="A535" t="str">
        <f t="shared" si="35"/>
        <v>637</v>
      </c>
      <c r="B535">
        <v>557</v>
      </c>
      <c r="C535" s="577" t="s">
        <v>2277</v>
      </c>
      <c r="D535" t="s">
        <v>2276</v>
      </c>
      <c r="E535">
        <f t="shared" si="36"/>
        <v>91</v>
      </c>
      <c r="F535">
        <f t="shared" si="37"/>
        <v>200</v>
      </c>
      <c r="G535">
        <f t="shared" si="38"/>
        <v>231</v>
      </c>
    </row>
    <row r="536" spans="1:7" x14ac:dyDescent="0.15">
      <c r="A536" t="str">
        <f t="shared" si="35"/>
        <v>638</v>
      </c>
      <c r="B536">
        <v>558</v>
      </c>
      <c r="C536" s="578" t="s">
        <v>2279</v>
      </c>
      <c r="D536" t="s">
        <v>2278</v>
      </c>
      <c r="E536">
        <f t="shared" si="36"/>
        <v>0</v>
      </c>
      <c r="F536">
        <f t="shared" si="37"/>
        <v>178</v>
      </c>
      <c r="G536">
        <f t="shared" si="38"/>
        <v>222</v>
      </c>
    </row>
    <row r="537" spans="1:7" x14ac:dyDescent="0.15">
      <c r="A537" t="str">
        <f t="shared" si="35"/>
        <v>639</v>
      </c>
      <c r="B537">
        <v>559</v>
      </c>
      <c r="C537" s="579" t="s">
        <v>2281</v>
      </c>
      <c r="D537" t="s">
        <v>2280</v>
      </c>
      <c r="E537">
        <f t="shared" si="36"/>
        <v>0</v>
      </c>
      <c r="F537">
        <f t="shared" si="37"/>
        <v>154</v>
      </c>
      <c r="G537">
        <f t="shared" si="38"/>
        <v>207</v>
      </c>
    </row>
    <row r="538" spans="1:7" x14ac:dyDescent="0.15">
      <c r="A538" t="str">
        <f t="shared" si="35"/>
        <v>640</v>
      </c>
      <c r="B538">
        <v>560</v>
      </c>
      <c r="C538" s="580" t="s">
        <v>2283</v>
      </c>
      <c r="D538" t="s">
        <v>2282</v>
      </c>
      <c r="E538">
        <f t="shared" si="36"/>
        <v>0</v>
      </c>
      <c r="F538">
        <f t="shared" si="37"/>
        <v>133</v>
      </c>
      <c r="G538">
        <f t="shared" si="38"/>
        <v>194</v>
      </c>
    </row>
    <row r="539" spans="1:7" x14ac:dyDescent="0.15">
      <c r="A539" t="str">
        <f t="shared" si="35"/>
        <v>641</v>
      </c>
      <c r="B539">
        <v>561</v>
      </c>
      <c r="C539" s="263" t="s">
        <v>1639</v>
      </c>
      <c r="D539" t="s">
        <v>2284</v>
      </c>
      <c r="E539">
        <f t="shared" si="36"/>
        <v>0</v>
      </c>
      <c r="F539">
        <f t="shared" si="37"/>
        <v>112</v>
      </c>
      <c r="G539">
        <f t="shared" si="38"/>
        <v>178</v>
      </c>
    </row>
    <row r="540" spans="1:7" x14ac:dyDescent="0.15">
      <c r="A540" t="str">
        <f t="shared" si="35"/>
        <v>642</v>
      </c>
      <c r="B540">
        <v>562</v>
      </c>
      <c r="C540" s="581" t="s">
        <v>2286</v>
      </c>
      <c r="D540" t="s">
        <v>2285</v>
      </c>
      <c r="E540">
        <f t="shared" si="36"/>
        <v>206</v>
      </c>
      <c r="F540">
        <f t="shared" si="37"/>
        <v>217</v>
      </c>
      <c r="G540">
        <f t="shared" si="38"/>
        <v>231</v>
      </c>
    </row>
    <row r="541" spans="1:7" x14ac:dyDescent="0.15">
      <c r="A541" t="str">
        <f t="shared" si="35"/>
        <v>643</v>
      </c>
      <c r="B541">
        <v>563</v>
      </c>
      <c r="C541" s="582" t="s">
        <v>2288</v>
      </c>
      <c r="D541" t="s">
        <v>2287</v>
      </c>
      <c r="E541">
        <f t="shared" si="36"/>
        <v>197</v>
      </c>
      <c r="F541">
        <f t="shared" si="37"/>
        <v>210</v>
      </c>
      <c r="G541">
        <f t="shared" si="38"/>
        <v>227</v>
      </c>
    </row>
    <row r="542" spans="1:7" x14ac:dyDescent="0.15">
      <c r="A542" t="str">
        <f t="shared" si="35"/>
        <v>644</v>
      </c>
      <c r="B542">
        <v>564</v>
      </c>
      <c r="C542" s="583" t="s">
        <v>2290</v>
      </c>
      <c r="D542" t="s">
        <v>2289</v>
      </c>
      <c r="E542">
        <f t="shared" si="36"/>
        <v>151</v>
      </c>
      <c r="F542">
        <f t="shared" si="37"/>
        <v>177</v>
      </c>
      <c r="G542">
        <f t="shared" si="38"/>
        <v>208</v>
      </c>
    </row>
    <row r="543" spans="1:7" x14ac:dyDescent="0.15">
      <c r="A543" t="str">
        <f t="shared" si="35"/>
        <v>645</v>
      </c>
      <c r="B543">
        <v>565</v>
      </c>
      <c r="C543" s="584" t="s">
        <v>2292</v>
      </c>
      <c r="D543" t="s">
        <v>2291</v>
      </c>
      <c r="E543">
        <f t="shared" si="36"/>
        <v>116</v>
      </c>
      <c r="F543">
        <f t="shared" si="37"/>
        <v>152</v>
      </c>
      <c r="G543">
        <f t="shared" si="38"/>
        <v>192</v>
      </c>
    </row>
    <row r="544" spans="1:7" x14ac:dyDescent="0.15">
      <c r="A544" t="str">
        <f t="shared" si="35"/>
        <v>646</v>
      </c>
      <c r="B544">
        <v>566</v>
      </c>
      <c r="C544" s="585" t="s">
        <v>2294</v>
      </c>
      <c r="D544" t="s">
        <v>2293</v>
      </c>
      <c r="E544">
        <f t="shared" si="36"/>
        <v>87</v>
      </c>
      <c r="F544">
        <f t="shared" si="37"/>
        <v>129</v>
      </c>
      <c r="G544">
        <f t="shared" si="38"/>
        <v>174</v>
      </c>
    </row>
    <row r="545" spans="1:7" x14ac:dyDescent="0.15">
      <c r="A545" t="str">
        <f t="shared" si="35"/>
        <v>647</v>
      </c>
      <c r="B545">
        <v>567</v>
      </c>
      <c r="C545" s="586" t="s">
        <v>2296</v>
      </c>
      <c r="D545" t="s">
        <v>2295</v>
      </c>
      <c r="E545">
        <f t="shared" si="36"/>
        <v>17</v>
      </c>
      <c r="F545">
        <f t="shared" si="37"/>
        <v>86</v>
      </c>
      <c r="G545">
        <f t="shared" si="38"/>
        <v>140</v>
      </c>
    </row>
    <row r="546" spans="1:7" x14ac:dyDescent="0.15">
      <c r="A546" t="str">
        <f t="shared" si="35"/>
        <v>648</v>
      </c>
      <c r="B546">
        <v>568</v>
      </c>
      <c r="C546" s="587" t="s">
        <v>2298</v>
      </c>
      <c r="D546" t="s">
        <v>2297</v>
      </c>
      <c r="E546">
        <f t="shared" si="36"/>
        <v>0</v>
      </c>
      <c r="F546">
        <f t="shared" si="37"/>
        <v>43</v>
      </c>
      <c r="G546">
        <f t="shared" si="38"/>
        <v>95</v>
      </c>
    </row>
    <row r="547" spans="1:7" x14ac:dyDescent="0.15">
      <c r="A547" t="str">
        <f t="shared" si="35"/>
        <v>649</v>
      </c>
      <c r="B547">
        <v>570</v>
      </c>
      <c r="C547" s="588" t="s">
        <v>2300</v>
      </c>
      <c r="D547" t="s">
        <v>2299</v>
      </c>
      <c r="E547">
        <f t="shared" si="36"/>
        <v>212</v>
      </c>
      <c r="F547">
        <f t="shared" si="37"/>
        <v>220</v>
      </c>
      <c r="G547">
        <f t="shared" si="38"/>
        <v>232</v>
      </c>
    </row>
    <row r="548" spans="1:7" x14ac:dyDescent="0.15">
      <c r="A548" t="str">
        <f t="shared" si="35"/>
        <v>650</v>
      </c>
      <c r="B548">
        <v>571</v>
      </c>
      <c r="C548" s="589" t="s">
        <v>2302</v>
      </c>
      <c r="D548" t="s">
        <v>2301</v>
      </c>
      <c r="E548">
        <f t="shared" si="36"/>
        <v>194</v>
      </c>
      <c r="F548">
        <f t="shared" si="37"/>
        <v>205</v>
      </c>
      <c r="G548">
        <f t="shared" si="38"/>
        <v>224</v>
      </c>
    </row>
    <row r="549" spans="1:7" x14ac:dyDescent="0.15">
      <c r="A549" t="str">
        <f t="shared" si="35"/>
        <v>651</v>
      </c>
      <c r="B549">
        <v>572</v>
      </c>
      <c r="C549" s="590" t="s">
        <v>2304</v>
      </c>
      <c r="D549" t="s">
        <v>2303</v>
      </c>
      <c r="E549">
        <f t="shared" si="36"/>
        <v>153</v>
      </c>
      <c r="F549">
        <f t="shared" si="37"/>
        <v>174</v>
      </c>
      <c r="G549">
        <f t="shared" si="38"/>
        <v>206</v>
      </c>
    </row>
    <row r="550" spans="1:7" x14ac:dyDescent="0.15">
      <c r="A550" t="str">
        <f t="shared" si="35"/>
        <v>652</v>
      </c>
      <c r="B550">
        <v>573</v>
      </c>
      <c r="C550" s="591" t="s">
        <v>2306</v>
      </c>
      <c r="D550" t="s">
        <v>2305</v>
      </c>
      <c r="E550">
        <f t="shared" si="36"/>
        <v>111</v>
      </c>
      <c r="F550">
        <f t="shared" si="37"/>
        <v>141</v>
      </c>
      <c r="G550">
        <f t="shared" si="38"/>
        <v>185</v>
      </c>
    </row>
    <row r="551" spans="1:7" x14ac:dyDescent="0.15">
      <c r="A551" t="str">
        <f t="shared" si="35"/>
        <v>653</v>
      </c>
      <c r="B551">
        <v>574</v>
      </c>
      <c r="C551" s="592" t="s">
        <v>2308</v>
      </c>
      <c r="D551" t="s">
        <v>2307</v>
      </c>
      <c r="E551">
        <f t="shared" si="36"/>
        <v>42</v>
      </c>
      <c r="F551">
        <f t="shared" si="37"/>
        <v>86</v>
      </c>
      <c r="G551">
        <f t="shared" si="38"/>
        <v>143</v>
      </c>
    </row>
    <row r="552" spans="1:7" x14ac:dyDescent="0.15">
      <c r="A552" t="str">
        <f t="shared" si="35"/>
        <v>654</v>
      </c>
      <c r="B552">
        <v>575</v>
      </c>
      <c r="C552" s="593" t="s">
        <v>2310</v>
      </c>
      <c r="D552" t="s">
        <v>2309</v>
      </c>
      <c r="E552">
        <f t="shared" si="36"/>
        <v>0</v>
      </c>
      <c r="F552">
        <f t="shared" si="37"/>
        <v>48</v>
      </c>
      <c r="G552">
        <f t="shared" si="38"/>
        <v>102</v>
      </c>
    </row>
    <row r="553" spans="1:7" x14ac:dyDescent="0.15">
      <c r="A553" t="str">
        <f t="shared" si="35"/>
        <v>655</v>
      </c>
      <c r="B553">
        <v>576</v>
      </c>
      <c r="C553" s="594" t="s">
        <v>2312</v>
      </c>
      <c r="D553" t="s">
        <v>2311</v>
      </c>
      <c r="E553">
        <f t="shared" si="36"/>
        <v>0</v>
      </c>
      <c r="F553">
        <f t="shared" si="37"/>
        <v>34</v>
      </c>
      <c r="G553">
        <f t="shared" si="38"/>
        <v>82</v>
      </c>
    </row>
    <row r="554" spans="1:7" x14ac:dyDescent="0.15">
      <c r="A554" t="str">
        <f t="shared" si="35"/>
        <v>656</v>
      </c>
      <c r="B554">
        <v>577</v>
      </c>
      <c r="C554" s="595" t="s">
        <v>2314</v>
      </c>
      <c r="D554" t="s">
        <v>2313</v>
      </c>
      <c r="E554">
        <f t="shared" si="36"/>
        <v>212</v>
      </c>
      <c r="F554">
        <f t="shared" si="37"/>
        <v>221</v>
      </c>
      <c r="G554">
        <f t="shared" si="38"/>
        <v>237</v>
      </c>
    </row>
    <row r="555" spans="1:7" x14ac:dyDescent="0.15">
      <c r="A555" t="str">
        <f t="shared" si="35"/>
        <v>657</v>
      </c>
      <c r="B555">
        <v>578</v>
      </c>
      <c r="C555" s="596" t="s">
        <v>2316</v>
      </c>
      <c r="D555" t="s">
        <v>2315</v>
      </c>
      <c r="E555">
        <f t="shared" si="36"/>
        <v>191</v>
      </c>
      <c r="F555">
        <f t="shared" si="37"/>
        <v>208</v>
      </c>
      <c r="G555">
        <f t="shared" si="38"/>
        <v>234</v>
      </c>
    </row>
    <row r="556" spans="1:7" x14ac:dyDescent="0.15">
      <c r="A556" t="str">
        <f t="shared" si="35"/>
        <v>658</v>
      </c>
      <c r="B556">
        <v>579</v>
      </c>
      <c r="C556" s="597" t="s">
        <v>2318</v>
      </c>
      <c r="D556" t="s">
        <v>2317</v>
      </c>
      <c r="E556">
        <f t="shared" si="36"/>
        <v>161</v>
      </c>
      <c r="F556">
        <f t="shared" si="37"/>
        <v>187</v>
      </c>
      <c r="G556">
        <f t="shared" si="38"/>
        <v>228</v>
      </c>
    </row>
    <row r="557" spans="1:7" x14ac:dyDescent="0.15">
      <c r="A557" t="str">
        <f t="shared" si="35"/>
        <v>659</v>
      </c>
      <c r="B557">
        <v>580</v>
      </c>
      <c r="C557" s="598" t="s">
        <v>2320</v>
      </c>
      <c r="D557" t="s">
        <v>2319</v>
      </c>
      <c r="E557">
        <f t="shared" si="36"/>
        <v>110</v>
      </c>
      <c r="F557">
        <f t="shared" si="37"/>
        <v>150</v>
      </c>
      <c r="G557">
        <f t="shared" si="38"/>
        <v>213</v>
      </c>
    </row>
    <row r="558" spans="1:7" x14ac:dyDescent="0.15">
      <c r="A558" t="str">
        <f t="shared" si="35"/>
        <v>660</v>
      </c>
      <c r="B558">
        <v>581</v>
      </c>
      <c r="C558" s="599" t="s">
        <v>2322</v>
      </c>
      <c r="D558" t="s">
        <v>2321</v>
      </c>
      <c r="E558">
        <f t="shared" si="36"/>
        <v>41</v>
      </c>
      <c r="F558">
        <f t="shared" si="37"/>
        <v>109</v>
      </c>
      <c r="G558">
        <f t="shared" si="38"/>
        <v>193</v>
      </c>
    </row>
    <row r="559" spans="1:7" x14ac:dyDescent="0.15">
      <c r="A559" t="str">
        <f t="shared" si="35"/>
        <v>661</v>
      </c>
      <c r="B559">
        <v>582</v>
      </c>
      <c r="C559" s="600" t="s">
        <v>2324</v>
      </c>
      <c r="D559" t="s">
        <v>2323</v>
      </c>
      <c r="E559">
        <f t="shared" si="36"/>
        <v>0</v>
      </c>
      <c r="F559">
        <f t="shared" si="37"/>
        <v>53</v>
      </c>
      <c r="G559">
        <f t="shared" si="38"/>
        <v>150</v>
      </c>
    </row>
    <row r="560" spans="1:7" x14ac:dyDescent="0.15">
      <c r="A560" t="str">
        <f t="shared" si="35"/>
        <v>662</v>
      </c>
      <c r="B560">
        <v>583</v>
      </c>
      <c r="C560" s="601" t="s">
        <v>2326</v>
      </c>
      <c r="D560" t="s">
        <v>2325</v>
      </c>
      <c r="E560">
        <f t="shared" si="36"/>
        <v>0</v>
      </c>
      <c r="F560">
        <f t="shared" si="37"/>
        <v>34</v>
      </c>
      <c r="G560">
        <f t="shared" si="38"/>
        <v>128</v>
      </c>
    </row>
    <row r="561" spans="1:7" x14ac:dyDescent="0.15">
      <c r="A561" t="str">
        <f t="shared" si="35"/>
        <v>663</v>
      </c>
      <c r="B561">
        <v>584</v>
      </c>
      <c r="C561" s="602" t="s">
        <v>2328</v>
      </c>
      <c r="D561" t="s">
        <v>2327</v>
      </c>
      <c r="E561">
        <f t="shared" si="36"/>
        <v>222</v>
      </c>
      <c r="F561">
        <f t="shared" si="37"/>
        <v>216</v>
      </c>
      <c r="G561">
        <f t="shared" si="38"/>
        <v>230</v>
      </c>
    </row>
    <row r="562" spans="1:7" x14ac:dyDescent="0.15">
      <c r="A562" t="str">
        <f t="shared" si="35"/>
        <v>664</v>
      </c>
      <c r="B562">
        <v>585</v>
      </c>
      <c r="C562" s="603" t="s">
        <v>2330</v>
      </c>
      <c r="D562" t="s">
        <v>2329</v>
      </c>
      <c r="E562">
        <f t="shared" si="36"/>
        <v>215</v>
      </c>
      <c r="F562">
        <f t="shared" si="37"/>
        <v>208</v>
      </c>
      <c r="G562">
        <f t="shared" si="38"/>
        <v>224</v>
      </c>
    </row>
    <row r="563" spans="1:7" x14ac:dyDescent="0.15">
      <c r="A563" t="str">
        <f t="shared" si="35"/>
        <v>665</v>
      </c>
      <c r="B563">
        <v>586</v>
      </c>
      <c r="C563" s="604" t="s">
        <v>2332</v>
      </c>
      <c r="D563" t="s">
        <v>2331</v>
      </c>
      <c r="E563">
        <f t="shared" si="36"/>
        <v>197</v>
      </c>
      <c r="F563">
        <f t="shared" si="37"/>
        <v>187</v>
      </c>
      <c r="G563">
        <f t="shared" si="38"/>
        <v>211</v>
      </c>
    </row>
    <row r="564" spans="1:7" x14ac:dyDescent="0.15">
      <c r="A564" t="str">
        <f t="shared" si="35"/>
        <v>666</v>
      </c>
      <c r="B564">
        <v>587</v>
      </c>
      <c r="C564" s="605" t="s">
        <v>2334</v>
      </c>
      <c r="D564" t="s">
        <v>2333</v>
      </c>
      <c r="E564">
        <f t="shared" si="36"/>
        <v>163</v>
      </c>
      <c r="F564">
        <f t="shared" si="37"/>
        <v>146</v>
      </c>
      <c r="G564">
        <f t="shared" si="38"/>
        <v>183</v>
      </c>
    </row>
    <row r="565" spans="1:7" x14ac:dyDescent="0.15">
      <c r="A565" t="str">
        <f t="shared" si="35"/>
        <v>667</v>
      </c>
      <c r="B565">
        <v>588</v>
      </c>
      <c r="C565" s="606" t="s">
        <v>2336</v>
      </c>
      <c r="D565" t="s">
        <v>2335</v>
      </c>
      <c r="E565">
        <f t="shared" si="36"/>
        <v>124</v>
      </c>
      <c r="F565">
        <f t="shared" si="37"/>
        <v>100</v>
      </c>
      <c r="G565">
        <f t="shared" si="38"/>
        <v>149</v>
      </c>
    </row>
    <row r="566" spans="1:7" x14ac:dyDescent="0.15">
      <c r="A566" t="str">
        <f t="shared" si="35"/>
        <v>668</v>
      </c>
      <c r="B566">
        <v>589</v>
      </c>
      <c r="C566" s="607" t="s">
        <v>2338</v>
      </c>
      <c r="D566" t="s">
        <v>2337</v>
      </c>
      <c r="E566">
        <f t="shared" si="36"/>
        <v>98</v>
      </c>
      <c r="F566">
        <f t="shared" si="37"/>
        <v>74</v>
      </c>
      <c r="G566">
        <f t="shared" si="38"/>
        <v>126</v>
      </c>
    </row>
    <row r="567" spans="1:7" x14ac:dyDescent="0.15">
      <c r="A567" t="str">
        <f t="shared" si="35"/>
        <v>669</v>
      </c>
      <c r="B567">
        <v>590</v>
      </c>
      <c r="C567" s="608" t="s">
        <v>2340</v>
      </c>
      <c r="D567" t="s">
        <v>2339</v>
      </c>
      <c r="E567">
        <f t="shared" si="36"/>
        <v>67</v>
      </c>
      <c r="F567">
        <f t="shared" si="37"/>
        <v>44</v>
      </c>
      <c r="G567">
        <f t="shared" si="38"/>
        <v>95</v>
      </c>
    </row>
    <row r="568" spans="1:7" x14ac:dyDescent="0.15">
      <c r="A568" t="str">
        <f t="shared" si="35"/>
        <v>670</v>
      </c>
      <c r="B568">
        <v>592</v>
      </c>
      <c r="C568" s="609" t="s">
        <v>2342</v>
      </c>
      <c r="D568" t="s">
        <v>2341</v>
      </c>
      <c r="E568">
        <f t="shared" si="36"/>
        <v>234</v>
      </c>
      <c r="F568">
        <f t="shared" si="37"/>
        <v>212</v>
      </c>
      <c r="G568">
        <f t="shared" si="38"/>
        <v>228</v>
      </c>
    </row>
    <row r="569" spans="1:7" x14ac:dyDescent="0.15">
      <c r="A569" t="str">
        <f t="shared" si="35"/>
        <v>671</v>
      </c>
      <c r="B569">
        <v>593</v>
      </c>
      <c r="C569" s="610" t="s">
        <v>2344</v>
      </c>
      <c r="D569" t="s">
        <v>2343</v>
      </c>
      <c r="E569">
        <f t="shared" si="36"/>
        <v>230</v>
      </c>
      <c r="F569">
        <f t="shared" si="37"/>
        <v>193</v>
      </c>
      <c r="G569">
        <f t="shared" si="38"/>
        <v>219</v>
      </c>
    </row>
    <row r="570" spans="1:7" x14ac:dyDescent="0.15">
      <c r="A570" t="str">
        <f t="shared" si="35"/>
        <v>672</v>
      </c>
      <c r="B570">
        <v>594</v>
      </c>
      <c r="C570" s="611" t="s">
        <v>2346</v>
      </c>
      <c r="D570" t="s">
        <v>2345</v>
      </c>
      <c r="E570">
        <f t="shared" si="36"/>
        <v>225</v>
      </c>
      <c r="F570">
        <f t="shared" si="37"/>
        <v>167</v>
      </c>
      <c r="G570">
        <f t="shared" si="38"/>
        <v>207</v>
      </c>
    </row>
    <row r="571" spans="1:7" x14ac:dyDescent="0.15">
      <c r="A571" t="str">
        <f t="shared" si="35"/>
        <v>673</v>
      </c>
      <c r="B571">
        <v>595</v>
      </c>
      <c r="C571" s="612" t="s">
        <v>2348</v>
      </c>
      <c r="D571" t="s">
        <v>2347</v>
      </c>
      <c r="E571">
        <f t="shared" si="36"/>
        <v>218</v>
      </c>
      <c r="F571">
        <f t="shared" si="37"/>
        <v>137</v>
      </c>
      <c r="G571">
        <f t="shared" si="38"/>
        <v>190</v>
      </c>
    </row>
    <row r="572" spans="1:7" x14ac:dyDescent="0.15">
      <c r="A572" t="str">
        <f t="shared" si="35"/>
        <v>674</v>
      </c>
      <c r="B572">
        <v>596</v>
      </c>
      <c r="C572" s="613" t="s">
        <v>2350</v>
      </c>
      <c r="D572" t="s">
        <v>2349</v>
      </c>
      <c r="E572">
        <f t="shared" si="36"/>
        <v>206</v>
      </c>
      <c r="F572">
        <f t="shared" si="37"/>
        <v>98</v>
      </c>
      <c r="G572">
        <f t="shared" si="38"/>
        <v>164</v>
      </c>
    </row>
    <row r="573" spans="1:7" x14ac:dyDescent="0.15">
      <c r="A573" t="str">
        <f t="shared" si="35"/>
        <v>675</v>
      </c>
      <c r="B573">
        <v>597</v>
      </c>
      <c r="C573" s="614" t="s">
        <v>2352</v>
      </c>
      <c r="D573" t="s">
        <v>2351</v>
      </c>
      <c r="E573">
        <f t="shared" si="36"/>
        <v>182</v>
      </c>
      <c r="F573">
        <f t="shared" si="37"/>
        <v>42</v>
      </c>
      <c r="G573">
        <f t="shared" si="38"/>
        <v>121</v>
      </c>
    </row>
    <row r="574" spans="1:7" x14ac:dyDescent="0.15">
      <c r="A574" t="str">
        <f t="shared" si="35"/>
        <v>676</v>
      </c>
      <c r="B574">
        <v>598</v>
      </c>
      <c r="C574" s="615" t="s">
        <v>2354</v>
      </c>
      <c r="D574" t="s">
        <v>2353</v>
      </c>
      <c r="E574">
        <f t="shared" si="36"/>
        <v>163</v>
      </c>
      <c r="F574">
        <f t="shared" si="37"/>
        <v>0</v>
      </c>
      <c r="G574">
        <f t="shared" si="38"/>
        <v>89</v>
      </c>
    </row>
    <row r="575" spans="1:7" x14ac:dyDescent="0.15">
      <c r="A575" t="str">
        <f t="shared" si="35"/>
        <v>677</v>
      </c>
      <c r="B575">
        <v>599</v>
      </c>
      <c r="C575" s="616" t="s">
        <v>2356</v>
      </c>
      <c r="D575" t="s">
        <v>2355</v>
      </c>
      <c r="E575">
        <f t="shared" si="36"/>
        <v>229</v>
      </c>
      <c r="F575">
        <f t="shared" si="37"/>
        <v>209</v>
      </c>
      <c r="G575">
        <f t="shared" si="38"/>
        <v>223</v>
      </c>
    </row>
    <row r="576" spans="1:7" x14ac:dyDescent="0.15">
      <c r="A576" t="str">
        <f t="shared" si="35"/>
        <v>678</v>
      </c>
      <c r="B576">
        <v>600</v>
      </c>
      <c r="C576" s="617" t="s">
        <v>2358</v>
      </c>
      <c r="D576" t="s">
        <v>2357</v>
      </c>
      <c r="E576">
        <f t="shared" si="36"/>
        <v>226</v>
      </c>
      <c r="F576">
        <f t="shared" si="37"/>
        <v>201</v>
      </c>
      <c r="G576">
        <f t="shared" si="38"/>
        <v>218</v>
      </c>
    </row>
    <row r="577" spans="1:7" x14ac:dyDescent="0.15">
      <c r="A577" t="str">
        <f t="shared" si="35"/>
        <v>679</v>
      </c>
      <c r="B577">
        <v>601</v>
      </c>
      <c r="C577" s="618" t="s">
        <v>2360</v>
      </c>
      <c r="D577" t="s">
        <v>2359</v>
      </c>
      <c r="E577">
        <f t="shared" si="36"/>
        <v>222</v>
      </c>
      <c r="F577">
        <f t="shared" si="37"/>
        <v>189</v>
      </c>
      <c r="G577">
        <f t="shared" si="38"/>
        <v>212</v>
      </c>
    </row>
    <row r="578" spans="1:7" x14ac:dyDescent="0.15">
      <c r="A578" t="str">
        <f t="shared" si="35"/>
        <v>680</v>
      </c>
      <c r="B578">
        <v>602</v>
      </c>
      <c r="C578" s="619" t="s">
        <v>2362</v>
      </c>
      <c r="D578" t="s">
        <v>2361</v>
      </c>
      <c r="E578">
        <f t="shared" si="36"/>
        <v>203</v>
      </c>
      <c r="F578">
        <f t="shared" si="37"/>
        <v>151</v>
      </c>
      <c r="G578">
        <f t="shared" si="38"/>
        <v>183</v>
      </c>
    </row>
    <row r="579" spans="1:7" x14ac:dyDescent="0.15">
      <c r="A579" t="str">
        <f t="shared" ref="A579:A642" si="39">LEFT(D579,LEN(D579)-1)</f>
        <v>681</v>
      </c>
      <c r="B579">
        <v>603</v>
      </c>
      <c r="C579" s="620" t="s">
        <v>2364</v>
      </c>
      <c r="D579" t="s">
        <v>2363</v>
      </c>
      <c r="E579">
        <f t="shared" si="36"/>
        <v>184</v>
      </c>
      <c r="F579">
        <f t="shared" si="37"/>
        <v>116</v>
      </c>
      <c r="G579">
        <f t="shared" si="38"/>
        <v>158</v>
      </c>
    </row>
    <row r="580" spans="1:7" x14ac:dyDescent="0.15">
      <c r="A580" t="str">
        <f t="shared" si="39"/>
        <v>682</v>
      </c>
      <c r="B580">
        <v>604</v>
      </c>
      <c r="C580" s="621" t="s">
        <v>2366</v>
      </c>
      <c r="D580" t="s">
        <v>2365</v>
      </c>
      <c r="E580">
        <f t="shared" si="36"/>
        <v>156</v>
      </c>
      <c r="F580">
        <f t="shared" si="37"/>
        <v>72</v>
      </c>
      <c r="G580">
        <f t="shared" si="38"/>
        <v>120</v>
      </c>
    </row>
    <row r="581" spans="1:7" x14ac:dyDescent="0.15">
      <c r="A581" t="str">
        <f t="shared" si="39"/>
        <v>683</v>
      </c>
      <c r="B581">
        <v>605</v>
      </c>
      <c r="C581" s="622" t="s">
        <v>2368</v>
      </c>
      <c r="D581" t="s">
        <v>2367</v>
      </c>
      <c r="E581">
        <f t="shared" si="36"/>
        <v>124</v>
      </c>
      <c r="F581">
        <f t="shared" si="37"/>
        <v>34</v>
      </c>
      <c r="G581">
        <f t="shared" si="38"/>
        <v>80</v>
      </c>
    </row>
    <row r="582" spans="1:7" x14ac:dyDescent="0.15">
      <c r="A582" t="str">
        <f t="shared" si="39"/>
        <v>684</v>
      </c>
      <c r="B582">
        <v>606</v>
      </c>
      <c r="C582" s="623" t="s">
        <v>2370</v>
      </c>
      <c r="D582" t="s">
        <v>2369</v>
      </c>
      <c r="E582">
        <f t="shared" ref="E582:E645" si="40">HEX2DEC(MID(C582,2,2))</f>
        <v>229</v>
      </c>
      <c r="F582">
        <f t="shared" ref="F582:F645" si="41">HEX2DEC(MID(C582,4,2))</f>
        <v>202</v>
      </c>
      <c r="G582">
        <f t="shared" ref="G582:G645" si="42">HEX2DEC(MID(C582,6,2))</f>
        <v>217</v>
      </c>
    </row>
    <row r="583" spans="1:7" x14ac:dyDescent="0.15">
      <c r="A583" t="str">
        <f t="shared" si="39"/>
        <v>685</v>
      </c>
      <c r="B583">
        <v>607</v>
      </c>
      <c r="C583" s="624" t="s">
        <v>2372</v>
      </c>
      <c r="D583" t="s">
        <v>2371</v>
      </c>
      <c r="E583">
        <f t="shared" si="40"/>
        <v>225</v>
      </c>
      <c r="F583">
        <f t="shared" si="41"/>
        <v>188</v>
      </c>
      <c r="G583">
        <f t="shared" si="42"/>
        <v>208</v>
      </c>
    </row>
    <row r="584" spans="1:7" x14ac:dyDescent="0.15">
      <c r="A584" t="str">
        <f t="shared" si="39"/>
        <v>686</v>
      </c>
      <c r="B584">
        <v>608</v>
      </c>
      <c r="C584" s="625" t="s">
        <v>2374</v>
      </c>
      <c r="D584" t="s">
        <v>2373</v>
      </c>
      <c r="E584">
        <f t="shared" si="40"/>
        <v>219</v>
      </c>
      <c r="F584">
        <f t="shared" si="41"/>
        <v>174</v>
      </c>
      <c r="G584">
        <f t="shared" si="42"/>
        <v>198</v>
      </c>
    </row>
    <row r="585" spans="1:7" x14ac:dyDescent="0.15">
      <c r="A585" t="str">
        <f t="shared" si="39"/>
        <v>687</v>
      </c>
      <c r="B585">
        <v>609</v>
      </c>
      <c r="C585" s="626" t="s">
        <v>2376</v>
      </c>
      <c r="D585" t="s">
        <v>2375</v>
      </c>
      <c r="E585">
        <f t="shared" si="40"/>
        <v>198</v>
      </c>
      <c r="F585">
        <f t="shared" si="41"/>
        <v>134</v>
      </c>
      <c r="G585">
        <f t="shared" si="42"/>
        <v>169</v>
      </c>
    </row>
    <row r="586" spans="1:7" x14ac:dyDescent="0.15">
      <c r="A586" t="str">
        <f t="shared" si="39"/>
        <v>688</v>
      </c>
      <c r="B586">
        <v>610</v>
      </c>
      <c r="C586" s="627" t="s">
        <v>2378</v>
      </c>
      <c r="D586" t="s">
        <v>2377</v>
      </c>
      <c r="E586">
        <f t="shared" si="40"/>
        <v>180</v>
      </c>
      <c r="F586">
        <f t="shared" si="41"/>
        <v>107</v>
      </c>
      <c r="G586">
        <f t="shared" si="42"/>
        <v>147</v>
      </c>
    </row>
    <row r="587" spans="1:7" x14ac:dyDescent="0.15">
      <c r="A587" t="str">
        <f t="shared" si="39"/>
        <v>689</v>
      </c>
      <c r="B587">
        <v>611</v>
      </c>
      <c r="C587" s="628" t="s">
        <v>2380</v>
      </c>
      <c r="D587" t="s">
        <v>2379</v>
      </c>
      <c r="E587">
        <f t="shared" si="40"/>
        <v>149</v>
      </c>
      <c r="F587">
        <f t="shared" si="41"/>
        <v>65</v>
      </c>
      <c r="G587">
        <f t="shared" si="42"/>
        <v>111</v>
      </c>
    </row>
    <row r="588" spans="1:7" x14ac:dyDescent="0.15">
      <c r="A588" t="str">
        <f t="shared" si="39"/>
        <v>690</v>
      </c>
      <c r="B588">
        <v>612</v>
      </c>
      <c r="C588" s="629" t="s">
        <v>2382</v>
      </c>
      <c r="D588" t="s">
        <v>2381</v>
      </c>
      <c r="E588">
        <f t="shared" si="40"/>
        <v>109</v>
      </c>
      <c r="F588">
        <f t="shared" si="41"/>
        <v>35</v>
      </c>
      <c r="G588">
        <f t="shared" si="42"/>
        <v>72</v>
      </c>
    </row>
    <row r="589" spans="1:7" x14ac:dyDescent="0.15">
      <c r="A589" t="str">
        <f t="shared" si="39"/>
        <v>691</v>
      </c>
      <c r="B589">
        <v>614</v>
      </c>
      <c r="C589" s="630" t="s">
        <v>2384</v>
      </c>
      <c r="D589" t="s">
        <v>2383</v>
      </c>
      <c r="E589">
        <f t="shared" si="40"/>
        <v>231</v>
      </c>
      <c r="F589">
        <f t="shared" si="41"/>
        <v>205</v>
      </c>
      <c r="G589">
        <f t="shared" si="42"/>
        <v>210</v>
      </c>
    </row>
    <row r="590" spans="1:7" x14ac:dyDescent="0.15">
      <c r="A590" t="str">
        <f t="shared" si="39"/>
        <v>692</v>
      </c>
      <c r="B590">
        <v>615</v>
      </c>
      <c r="C590" s="631" t="s">
        <v>2386</v>
      </c>
      <c r="D590" t="s">
        <v>2385</v>
      </c>
      <c r="E590">
        <f t="shared" si="40"/>
        <v>226</v>
      </c>
      <c r="F590">
        <f t="shared" si="41"/>
        <v>193</v>
      </c>
      <c r="G590">
        <f t="shared" si="42"/>
        <v>200</v>
      </c>
    </row>
    <row r="591" spans="1:7" x14ac:dyDescent="0.15">
      <c r="A591" t="str">
        <f t="shared" si="39"/>
        <v>693</v>
      </c>
      <c r="B591">
        <v>616</v>
      </c>
      <c r="C591" s="632" t="s">
        <v>2388</v>
      </c>
      <c r="D591" t="s">
        <v>2387</v>
      </c>
      <c r="E591">
        <f t="shared" si="40"/>
        <v>217</v>
      </c>
      <c r="F591">
        <f t="shared" si="41"/>
        <v>167</v>
      </c>
      <c r="G591">
        <f t="shared" si="42"/>
        <v>177</v>
      </c>
    </row>
    <row r="592" spans="1:7" x14ac:dyDescent="0.15">
      <c r="A592" t="str">
        <f t="shared" si="39"/>
        <v>694</v>
      </c>
      <c r="B592">
        <v>617</v>
      </c>
      <c r="C592" s="633" t="s">
        <v>2390</v>
      </c>
      <c r="D592" t="s">
        <v>2389</v>
      </c>
      <c r="E592">
        <f t="shared" si="40"/>
        <v>202</v>
      </c>
      <c r="F592">
        <f t="shared" si="41"/>
        <v>144</v>
      </c>
      <c r="G592">
        <f t="shared" si="42"/>
        <v>156</v>
      </c>
    </row>
    <row r="593" spans="1:7" x14ac:dyDescent="0.15">
      <c r="A593" t="str">
        <f t="shared" si="39"/>
        <v>695</v>
      </c>
      <c r="B593">
        <v>618</v>
      </c>
      <c r="C593" s="634" t="s">
        <v>2392</v>
      </c>
      <c r="D593" t="s">
        <v>2391</v>
      </c>
      <c r="E593">
        <f t="shared" si="40"/>
        <v>176</v>
      </c>
      <c r="F593">
        <f t="shared" si="41"/>
        <v>104</v>
      </c>
      <c r="G593">
        <f t="shared" si="42"/>
        <v>118</v>
      </c>
    </row>
    <row r="594" spans="1:7" x14ac:dyDescent="0.15">
      <c r="A594" t="str">
        <f t="shared" si="39"/>
        <v>696</v>
      </c>
      <c r="B594">
        <v>619</v>
      </c>
      <c r="C594" s="635" t="s">
        <v>2394</v>
      </c>
      <c r="D594" t="s">
        <v>2393</v>
      </c>
      <c r="E594">
        <f t="shared" si="40"/>
        <v>148</v>
      </c>
      <c r="F594">
        <f t="shared" si="41"/>
        <v>69</v>
      </c>
      <c r="G594">
        <f t="shared" si="42"/>
        <v>84</v>
      </c>
    </row>
    <row r="595" spans="1:7" x14ac:dyDescent="0.15">
      <c r="A595" t="str">
        <f t="shared" si="39"/>
        <v>697</v>
      </c>
      <c r="B595">
        <v>620</v>
      </c>
      <c r="C595" s="636" t="s">
        <v>2396</v>
      </c>
      <c r="D595" t="s">
        <v>2395</v>
      </c>
      <c r="E595">
        <f t="shared" si="40"/>
        <v>129</v>
      </c>
      <c r="F595">
        <f t="shared" si="41"/>
        <v>51</v>
      </c>
      <c r="G595">
        <f t="shared" si="42"/>
        <v>61</v>
      </c>
    </row>
    <row r="596" spans="1:7" x14ac:dyDescent="0.15">
      <c r="A596" t="str">
        <f t="shared" si="39"/>
        <v>698</v>
      </c>
      <c r="B596">
        <v>621</v>
      </c>
      <c r="C596" s="637" t="s">
        <v>2398</v>
      </c>
      <c r="D596" t="s">
        <v>2397</v>
      </c>
      <c r="E596">
        <f t="shared" si="40"/>
        <v>237</v>
      </c>
      <c r="F596">
        <f t="shared" si="41"/>
        <v>207</v>
      </c>
      <c r="G596">
        <f t="shared" si="42"/>
        <v>215</v>
      </c>
    </row>
    <row r="597" spans="1:7" x14ac:dyDescent="0.15">
      <c r="A597" t="str">
        <f t="shared" si="39"/>
        <v>699</v>
      </c>
      <c r="B597">
        <v>622</v>
      </c>
      <c r="C597" s="638" t="s">
        <v>2400</v>
      </c>
      <c r="D597" t="s">
        <v>2399</v>
      </c>
      <c r="E597">
        <f t="shared" si="40"/>
        <v>240</v>
      </c>
      <c r="F597">
        <f t="shared" si="41"/>
        <v>194</v>
      </c>
      <c r="G597">
        <f t="shared" si="42"/>
        <v>205</v>
      </c>
    </row>
    <row r="598" spans="1:7" x14ac:dyDescent="0.15">
      <c r="A598" t="str">
        <f t="shared" si="39"/>
        <v>700</v>
      </c>
      <c r="B598">
        <v>623</v>
      </c>
      <c r="C598" s="639" t="s">
        <v>2402</v>
      </c>
      <c r="D598" t="s">
        <v>2401</v>
      </c>
      <c r="E598">
        <f t="shared" si="40"/>
        <v>236</v>
      </c>
      <c r="F598">
        <f t="shared" si="41"/>
        <v>169</v>
      </c>
      <c r="G598">
        <f t="shared" si="42"/>
        <v>185</v>
      </c>
    </row>
    <row r="599" spans="1:7" x14ac:dyDescent="0.15">
      <c r="A599" t="str">
        <f t="shared" si="39"/>
        <v>701</v>
      </c>
      <c r="B599">
        <v>624</v>
      </c>
      <c r="C599" s="640" t="s">
        <v>2404</v>
      </c>
      <c r="D599" t="s">
        <v>2403</v>
      </c>
      <c r="E599">
        <f t="shared" si="40"/>
        <v>229</v>
      </c>
      <c r="F599">
        <f t="shared" si="41"/>
        <v>141</v>
      </c>
      <c r="G599">
        <f t="shared" si="42"/>
        <v>162</v>
      </c>
    </row>
    <row r="600" spans="1:7" x14ac:dyDescent="0.15">
      <c r="A600" t="str">
        <f t="shared" si="39"/>
        <v>702</v>
      </c>
      <c r="B600">
        <v>625</v>
      </c>
      <c r="C600" s="641" t="s">
        <v>2406</v>
      </c>
      <c r="D600" t="s">
        <v>2405</v>
      </c>
      <c r="E600">
        <f t="shared" si="40"/>
        <v>213</v>
      </c>
      <c r="F600">
        <f t="shared" si="41"/>
        <v>100</v>
      </c>
      <c r="G600">
        <f t="shared" si="42"/>
        <v>124</v>
      </c>
    </row>
    <row r="601" spans="1:7" x14ac:dyDescent="0.15">
      <c r="A601" t="str">
        <f t="shared" si="39"/>
        <v>703</v>
      </c>
      <c r="B601">
        <v>626</v>
      </c>
      <c r="C601" s="642" t="s">
        <v>2408</v>
      </c>
      <c r="D601" t="s">
        <v>2407</v>
      </c>
      <c r="E601">
        <f t="shared" si="40"/>
        <v>186</v>
      </c>
      <c r="F601">
        <f t="shared" si="41"/>
        <v>57</v>
      </c>
      <c r="G601">
        <f t="shared" si="42"/>
        <v>78</v>
      </c>
    </row>
    <row r="602" spans="1:7" x14ac:dyDescent="0.15">
      <c r="A602" t="str">
        <f t="shared" si="39"/>
        <v>704</v>
      </c>
      <c r="B602">
        <v>627</v>
      </c>
      <c r="C602" s="643" t="s">
        <v>2410</v>
      </c>
      <c r="D602" t="s">
        <v>2409</v>
      </c>
      <c r="E602">
        <f t="shared" si="40"/>
        <v>162</v>
      </c>
      <c r="F602">
        <f t="shared" si="41"/>
        <v>38</v>
      </c>
      <c r="G602">
        <f t="shared" si="42"/>
        <v>48</v>
      </c>
    </row>
    <row r="603" spans="1:7" x14ac:dyDescent="0.15">
      <c r="A603" t="str">
        <f t="shared" si="39"/>
        <v>705</v>
      </c>
      <c r="B603">
        <v>628</v>
      </c>
      <c r="C603" s="644" t="s">
        <v>2412</v>
      </c>
      <c r="D603" t="s">
        <v>2411</v>
      </c>
      <c r="E603">
        <f t="shared" si="40"/>
        <v>242</v>
      </c>
      <c r="F603">
        <f t="shared" si="41"/>
        <v>214</v>
      </c>
      <c r="G603">
        <f t="shared" si="42"/>
        <v>222</v>
      </c>
    </row>
    <row r="604" spans="1:7" x14ac:dyDescent="0.15">
      <c r="A604" t="str">
        <f t="shared" si="39"/>
        <v>706</v>
      </c>
      <c r="B604">
        <v>629</v>
      </c>
      <c r="C604" s="645" t="s">
        <v>2414</v>
      </c>
      <c r="D604" t="s">
        <v>2413</v>
      </c>
      <c r="E604">
        <f t="shared" si="40"/>
        <v>245</v>
      </c>
      <c r="F604">
        <f t="shared" si="41"/>
        <v>199</v>
      </c>
      <c r="G604">
        <f t="shared" si="42"/>
        <v>212</v>
      </c>
    </row>
    <row r="605" spans="1:7" x14ac:dyDescent="0.15">
      <c r="A605" t="str">
        <f t="shared" si="39"/>
        <v>707</v>
      </c>
      <c r="B605">
        <v>630</v>
      </c>
      <c r="C605" s="646" t="s">
        <v>2416</v>
      </c>
      <c r="D605" t="s">
        <v>2415</v>
      </c>
      <c r="E605">
        <f t="shared" si="40"/>
        <v>245</v>
      </c>
      <c r="F605">
        <f t="shared" si="41"/>
        <v>176</v>
      </c>
      <c r="G605">
        <f t="shared" si="42"/>
        <v>193</v>
      </c>
    </row>
    <row r="606" spans="1:7" x14ac:dyDescent="0.15">
      <c r="A606" t="str">
        <f t="shared" si="39"/>
        <v>708</v>
      </c>
      <c r="B606">
        <v>631</v>
      </c>
      <c r="C606" s="647" t="s">
        <v>2418</v>
      </c>
      <c r="D606" t="s">
        <v>2417</v>
      </c>
      <c r="E606">
        <f t="shared" si="40"/>
        <v>245</v>
      </c>
      <c r="F606">
        <f t="shared" si="41"/>
        <v>144</v>
      </c>
      <c r="G606">
        <f t="shared" si="42"/>
        <v>166</v>
      </c>
    </row>
    <row r="607" spans="1:7" x14ac:dyDescent="0.15">
      <c r="A607" t="str">
        <f t="shared" si="39"/>
        <v>709</v>
      </c>
      <c r="B607">
        <v>632</v>
      </c>
      <c r="C607" s="648" t="s">
        <v>2420</v>
      </c>
      <c r="D607" t="s">
        <v>2419</v>
      </c>
      <c r="E607">
        <f t="shared" si="40"/>
        <v>239</v>
      </c>
      <c r="F607">
        <f t="shared" si="41"/>
        <v>103</v>
      </c>
      <c r="G607">
        <f t="shared" si="42"/>
        <v>130</v>
      </c>
    </row>
    <row r="608" spans="1:7" x14ac:dyDescent="0.15">
      <c r="A608" t="str">
        <f t="shared" si="39"/>
        <v>710</v>
      </c>
      <c r="B608">
        <v>633</v>
      </c>
      <c r="C608" s="649" t="s">
        <v>2422</v>
      </c>
      <c r="D608" t="s">
        <v>2421</v>
      </c>
      <c r="E608">
        <f t="shared" si="40"/>
        <v>229</v>
      </c>
      <c r="F608">
        <f t="shared" si="41"/>
        <v>70</v>
      </c>
      <c r="G608">
        <f t="shared" si="42"/>
        <v>97</v>
      </c>
    </row>
    <row r="609" spans="1:7" x14ac:dyDescent="0.15">
      <c r="A609" t="str">
        <f t="shared" si="39"/>
        <v>711</v>
      </c>
      <c r="B609">
        <v>634</v>
      </c>
      <c r="C609" s="650" t="s">
        <v>2424</v>
      </c>
      <c r="D609" t="s">
        <v>2423</v>
      </c>
      <c r="E609">
        <f t="shared" si="40"/>
        <v>211</v>
      </c>
      <c r="F609">
        <f t="shared" si="41"/>
        <v>41</v>
      </c>
      <c r="G609">
        <f t="shared" si="42"/>
        <v>57</v>
      </c>
    </row>
    <row r="610" spans="1:7" x14ac:dyDescent="0.15">
      <c r="A610" t="str">
        <f t="shared" si="39"/>
        <v>712</v>
      </c>
      <c r="B610">
        <v>636</v>
      </c>
      <c r="C610" s="651" t="s">
        <v>2426</v>
      </c>
      <c r="D610" t="s">
        <v>2425</v>
      </c>
      <c r="E610">
        <f t="shared" si="40"/>
        <v>250</v>
      </c>
      <c r="F610">
        <f t="shared" si="41"/>
        <v>205</v>
      </c>
      <c r="G610">
        <f t="shared" si="42"/>
        <v>174</v>
      </c>
    </row>
    <row r="611" spans="1:7" x14ac:dyDescent="0.15">
      <c r="A611" t="str">
        <f t="shared" si="39"/>
        <v>713</v>
      </c>
      <c r="B611">
        <v>637</v>
      </c>
      <c r="C611" s="652" t="s">
        <v>2428</v>
      </c>
      <c r="D611" t="s">
        <v>2427</v>
      </c>
      <c r="E611">
        <f t="shared" si="40"/>
        <v>251</v>
      </c>
      <c r="F611">
        <f t="shared" si="41"/>
        <v>195</v>
      </c>
      <c r="G611">
        <f t="shared" si="42"/>
        <v>153</v>
      </c>
    </row>
    <row r="612" spans="1:7" x14ac:dyDescent="0.15">
      <c r="A612" t="str">
        <f t="shared" si="39"/>
        <v>714</v>
      </c>
      <c r="B612">
        <v>638</v>
      </c>
      <c r="C612" s="653" t="s">
        <v>2430</v>
      </c>
      <c r="D612" t="s">
        <v>2429</v>
      </c>
      <c r="E612">
        <f t="shared" si="40"/>
        <v>253</v>
      </c>
      <c r="F612">
        <f t="shared" si="41"/>
        <v>177</v>
      </c>
      <c r="G612">
        <f t="shared" si="42"/>
        <v>121</v>
      </c>
    </row>
    <row r="613" spans="1:7" x14ac:dyDescent="0.15">
      <c r="A613" t="str">
        <f t="shared" si="39"/>
        <v>715</v>
      </c>
      <c r="B613">
        <v>639</v>
      </c>
      <c r="C613" s="654" t="s">
        <v>2432</v>
      </c>
      <c r="D613" t="s">
        <v>2431</v>
      </c>
      <c r="E613">
        <f t="shared" si="40"/>
        <v>249</v>
      </c>
      <c r="F613">
        <f t="shared" si="41"/>
        <v>150</v>
      </c>
      <c r="G613">
        <f t="shared" si="42"/>
        <v>74</v>
      </c>
    </row>
    <row r="614" spans="1:7" x14ac:dyDescent="0.15">
      <c r="A614" t="str">
        <f t="shared" si="39"/>
        <v>716</v>
      </c>
      <c r="B614">
        <v>640</v>
      </c>
      <c r="C614" s="655" t="s">
        <v>2434</v>
      </c>
      <c r="D614" t="s">
        <v>2433</v>
      </c>
      <c r="E614">
        <f t="shared" si="40"/>
        <v>241</v>
      </c>
      <c r="F614">
        <f t="shared" si="41"/>
        <v>124</v>
      </c>
      <c r="G614">
        <f t="shared" si="42"/>
        <v>14</v>
      </c>
    </row>
    <row r="615" spans="1:7" x14ac:dyDescent="0.15">
      <c r="A615" t="str">
        <f t="shared" si="39"/>
        <v>717</v>
      </c>
      <c r="B615">
        <v>641</v>
      </c>
      <c r="C615" s="656" t="s">
        <v>2436</v>
      </c>
      <c r="D615" t="s">
        <v>2435</v>
      </c>
      <c r="E615">
        <f t="shared" si="40"/>
        <v>222</v>
      </c>
      <c r="F615">
        <f t="shared" si="41"/>
        <v>97</v>
      </c>
      <c r="G615">
        <f t="shared" si="42"/>
        <v>0</v>
      </c>
    </row>
    <row r="616" spans="1:7" x14ac:dyDescent="0.15">
      <c r="A616" t="str">
        <f t="shared" si="39"/>
        <v>718</v>
      </c>
      <c r="B616">
        <v>642</v>
      </c>
      <c r="C616" s="657" t="s">
        <v>2438</v>
      </c>
      <c r="D616" t="s">
        <v>2437</v>
      </c>
      <c r="E616">
        <f t="shared" si="40"/>
        <v>207</v>
      </c>
      <c r="F616">
        <f t="shared" si="41"/>
        <v>82</v>
      </c>
      <c r="G616">
        <f t="shared" si="42"/>
        <v>0</v>
      </c>
    </row>
    <row r="617" spans="1:7" x14ac:dyDescent="0.15">
      <c r="A617" t="str">
        <f t="shared" si="39"/>
        <v>719</v>
      </c>
      <c r="B617">
        <v>643</v>
      </c>
      <c r="C617" s="658" t="s">
        <v>2440</v>
      </c>
      <c r="D617" t="s">
        <v>2439</v>
      </c>
      <c r="E617">
        <f t="shared" si="40"/>
        <v>239</v>
      </c>
      <c r="F617">
        <f t="shared" si="41"/>
        <v>207</v>
      </c>
      <c r="G617">
        <f t="shared" si="42"/>
        <v>184</v>
      </c>
    </row>
    <row r="618" spans="1:7" x14ac:dyDescent="0.15">
      <c r="A618" t="str">
        <f t="shared" si="39"/>
        <v>720</v>
      </c>
      <c r="B618">
        <v>644</v>
      </c>
      <c r="C618" s="659" t="s">
        <v>2442</v>
      </c>
      <c r="D618" t="s">
        <v>2441</v>
      </c>
      <c r="E618">
        <f t="shared" si="40"/>
        <v>236</v>
      </c>
      <c r="F618">
        <f t="shared" si="41"/>
        <v>195</v>
      </c>
      <c r="G618">
        <f t="shared" si="42"/>
        <v>165</v>
      </c>
    </row>
    <row r="619" spans="1:7" x14ac:dyDescent="0.15">
      <c r="A619" t="str">
        <f t="shared" si="39"/>
        <v>721</v>
      </c>
      <c r="B619">
        <v>645</v>
      </c>
      <c r="C619" s="660" t="s">
        <v>2444</v>
      </c>
      <c r="D619" t="s">
        <v>2443</v>
      </c>
      <c r="E619">
        <f t="shared" si="40"/>
        <v>229</v>
      </c>
      <c r="F619">
        <f t="shared" si="41"/>
        <v>174</v>
      </c>
      <c r="G619">
        <f t="shared" si="42"/>
        <v>134</v>
      </c>
    </row>
    <row r="620" spans="1:7" x14ac:dyDescent="0.15">
      <c r="A620" t="str">
        <f t="shared" si="39"/>
        <v>722</v>
      </c>
      <c r="B620">
        <v>646</v>
      </c>
      <c r="C620" s="661" t="s">
        <v>2446</v>
      </c>
      <c r="D620" t="s">
        <v>2445</v>
      </c>
      <c r="E620">
        <f t="shared" si="40"/>
        <v>213</v>
      </c>
      <c r="F620">
        <f t="shared" si="41"/>
        <v>143</v>
      </c>
      <c r="G620">
        <f t="shared" si="42"/>
        <v>89</v>
      </c>
    </row>
    <row r="621" spans="1:7" x14ac:dyDescent="0.15">
      <c r="A621" t="str">
        <f t="shared" si="39"/>
        <v>723</v>
      </c>
      <c r="B621">
        <v>647</v>
      </c>
      <c r="C621" s="662" t="s">
        <v>2448</v>
      </c>
      <c r="D621" t="s">
        <v>2447</v>
      </c>
      <c r="E621">
        <f t="shared" si="40"/>
        <v>192</v>
      </c>
      <c r="F621">
        <f t="shared" si="41"/>
        <v>114</v>
      </c>
      <c r="G621">
        <f t="shared" si="42"/>
        <v>47</v>
      </c>
    </row>
    <row r="622" spans="1:7" x14ac:dyDescent="0.15">
      <c r="A622" t="str">
        <f t="shared" si="39"/>
        <v>724</v>
      </c>
      <c r="B622">
        <v>648</v>
      </c>
      <c r="C622" s="663" t="s">
        <v>2450</v>
      </c>
      <c r="D622" t="s">
        <v>2449</v>
      </c>
      <c r="E622">
        <f t="shared" si="40"/>
        <v>154</v>
      </c>
      <c r="F622">
        <f t="shared" si="41"/>
        <v>75</v>
      </c>
      <c r="G622">
        <f t="shared" si="42"/>
        <v>0</v>
      </c>
    </row>
    <row r="623" spans="1:7" x14ac:dyDescent="0.15">
      <c r="A623" t="str">
        <f t="shared" si="39"/>
        <v>725</v>
      </c>
      <c r="B623">
        <v>649</v>
      </c>
      <c r="C623" s="664" t="s">
        <v>2452</v>
      </c>
      <c r="D623" t="s">
        <v>2451</v>
      </c>
      <c r="E623">
        <f t="shared" si="40"/>
        <v>132</v>
      </c>
      <c r="F623">
        <f t="shared" si="41"/>
        <v>59</v>
      </c>
      <c r="G623">
        <f t="shared" si="42"/>
        <v>0</v>
      </c>
    </row>
    <row r="624" spans="1:7" x14ac:dyDescent="0.15">
      <c r="A624" t="str">
        <f t="shared" si="39"/>
        <v>726</v>
      </c>
      <c r="B624">
        <v>650</v>
      </c>
      <c r="C624" s="665" t="s">
        <v>2454</v>
      </c>
      <c r="D624" t="s">
        <v>2453</v>
      </c>
      <c r="E624">
        <f t="shared" si="40"/>
        <v>232</v>
      </c>
      <c r="F624">
        <f t="shared" si="41"/>
        <v>206</v>
      </c>
      <c r="G624">
        <f t="shared" si="42"/>
        <v>187</v>
      </c>
    </row>
    <row r="625" spans="1:7" x14ac:dyDescent="0.15">
      <c r="A625" t="str">
        <f t="shared" si="39"/>
        <v>727</v>
      </c>
      <c r="B625">
        <v>651</v>
      </c>
      <c r="C625" s="666" t="s">
        <v>2456</v>
      </c>
      <c r="D625" t="s">
        <v>2455</v>
      </c>
      <c r="E625">
        <f t="shared" si="40"/>
        <v>225</v>
      </c>
      <c r="F625">
        <f t="shared" si="41"/>
        <v>190</v>
      </c>
      <c r="G625">
        <f t="shared" si="42"/>
        <v>164</v>
      </c>
    </row>
    <row r="626" spans="1:7" x14ac:dyDescent="0.15">
      <c r="A626" t="str">
        <f t="shared" si="39"/>
        <v>728</v>
      </c>
      <c r="B626">
        <v>652</v>
      </c>
      <c r="C626" s="667" t="s">
        <v>2458</v>
      </c>
      <c r="D626" t="s">
        <v>2457</v>
      </c>
      <c r="E626">
        <f t="shared" si="40"/>
        <v>213</v>
      </c>
      <c r="F626">
        <f t="shared" si="41"/>
        <v>170</v>
      </c>
      <c r="G626">
        <f t="shared" si="42"/>
        <v>136</v>
      </c>
    </row>
    <row r="627" spans="1:7" x14ac:dyDescent="0.15">
      <c r="A627" t="str">
        <f t="shared" si="39"/>
        <v>729</v>
      </c>
      <c r="B627">
        <v>653</v>
      </c>
      <c r="C627" s="668" t="s">
        <v>2460</v>
      </c>
      <c r="D627" t="s">
        <v>2459</v>
      </c>
      <c r="E627">
        <f t="shared" si="40"/>
        <v>195</v>
      </c>
      <c r="F627">
        <f t="shared" si="41"/>
        <v>142</v>
      </c>
      <c r="G627">
        <f t="shared" si="42"/>
        <v>99</v>
      </c>
    </row>
    <row r="628" spans="1:7" x14ac:dyDescent="0.15">
      <c r="A628" t="str">
        <f t="shared" si="39"/>
        <v>730</v>
      </c>
      <c r="B628">
        <v>654</v>
      </c>
      <c r="C628" s="669" t="s">
        <v>2462</v>
      </c>
      <c r="D628" t="s">
        <v>2461</v>
      </c>
      <c r="E628">
        <f t="shared" si="40"/>
        <v>172</v>
      </c>
      <c r="F628">
        <f t="shared" si="41"/>
        <v>112</v>
      </c>
      <c r="G628">
        <f t="shared" si="42"/>
        <v>61</v>
      </c>
    </row>
    <row r="629" spans="1:7" x14ac:dyDescent="0.15">
      <c r="A629" t="str">
        <f t="shared" si="39"/>
        <v>731</v>
      </c>
      <c r="B629">
        <v>655</v>
      </c>
      <c r="C629" s="670" t="s">
        <v>2464</v>
      </c>
      <c r="D629" t="s">
        <v>2463</v>
      </c>
      <c r="E629">
        <f t="shared" si="40"/>
        <v>121</v>
      </c>
      <c r="F629">
        <f t="shared" si="41"/>
        <v>63</v>
      </c>
      <c r="G629">
        <f t="shared" si="42"/>
        <v>13</v>
      </c>
    </row>
    <row r="630" spans="1:7" x14ac:dyDescent="0.15">
      <c r="A630" t="str">
        <f t="shared" si="39"/>
        <v>732</v>
      </c>
      <c r="B630">
        <v>656</v>
      </c>
      <c r="C630" s="671" t="s">
        <v>2466</v>
      </c>
      <c r="D630" t="s">
        <v>2465</v>
      </c>
      <c r="E630">
        <f t="shared" si="40"/>
        <v>100</v>
      </c>
      <c r="F630">
        <f t="shared" si="41"/>
        <v>48</v>
      </c>
      <c r="G630">
        <f t="shared" si="42"/>
        <v>10</v>
      </c>
    </row>
    <row r="631" spans="1:7" x14ac:dyDescent="0.15">
      <c r="A631" t="str">
        <f t="shared" si="39"/>
        <v>801</v>
      </c>
      <c r="B631">
        <v>657</v>
      </c>
      <c r="C631" s="672" t="s">
        <v>2468</v>
      </c>
      <c r="D631" t="s">
        <v>2467</v>
      </c>
      <c r="E631">
        <f t="shared" si="40"/>
        <v>0</v>
      </c>
      <c r="F631">
        <f t="shared" si="41"/>
        <v>167</v>
      </c>
      <c r="G631">
        <f t="shared" si="42"/>
        <v>216</v>
      </c>
    </row>
    <row r="632" spans="1:7" x14ac:dyDescent="0.15">
      <c r="A632" t="str">
        <f t="shared" si="39"/>
        <v>802</v>
      </c>
      <c r="B632">
        <v>658</v>
      </c>
      <c r="C632" s="673" t="s">
        <v>2470</v>
      </c>
      <c r="D632" t="s">
        <v>2469</v>
      </c>
      <c r="E632">
        <f t="shared" si="40"/>
        <v>91</v>
      </c>
      <c r="F632">
        <f t="shared" si="41"/>
        <v>221</v>
      </c>
      <c r="G632">
        <f t="shared" si="42"/>
        <v>69</v>
      </c>
    </row>
    <row r="633" spans="1:7" x14ac:dyDescent="0.15">
      <c r="A633" t="str">
        <f t="shared" si="39"/>
        <v>803</v>
      </c>
      <c r="B633">
        <v>659</v>
      </c>
      <c r="C633" s="674" t="s">
        <v>2472</v>
      </c>
      <c r="D633" t="s">
        <v>2471</v>
      </c>
      <c r="E633">
        <f t="shared" si="40"/>
        <v>255</v>
      </c>
      <c r="F633">
        <f t="shared" si="41"/>
        <v>232</v>
      </c>
      <c r="G633">
        <f t="shared" si="42"/>
        <v>5</v>
      </c>
    </row>
    <row r="634" spans="1:7" x14ac:dyDescent="0.15">
      <c r="A634" t="str">
        <f t="shared" si="39"/>
        <v>804</v>
      </c>
      <c r="B634">
        <v>660</v>
      </c>
      <c r="C634" s="675" t="s">
        <v>2474</v>
      </c>
      <c r="D634" t="s">
        <v>2473</v>
      </c>
      <c r="E634">
        <f t="shared" si="40"/>
        <v>255</v>
      </c>
      <c r="F634">
        <f t="shared" si="41"/>
        <v>162</v>
      </c>
      <c r="G634">
        <f t="shared" si="42"/>
        <v>67</v>
      </c>
    </row>
    <row r="635" spans="1:7" x14ac:dyDescent="0.15">
      <c r="A635" t="str">
        <f t="shared" si="39"/>
        <v>805</v>
      </c>
      <c r="B635">
        <v>661</v>
      </c>
      <c r="C635" s="676" t="s">
        <v>2476</v>
      </c>
      <c r="D635" t="s">
        <v>2475</v>
      </c>
      <c r="E635">
        <f t="shared" si="40"/>
        <v>255</v>
      </c>
      <c r="F635">
        <f t="shared" si="41"/>
        <v>88</v>
      </c>
      <c r="G635">
        <f t="shared" si="42"/>
        <v>94</v>
      </c>
    </row>
    <row r="636" spans="1:7" x14ac:dyDescent="0.15">
      <c r="A636" t="str">
        <f t="shared" si="39"/>
        <v>806</v>
      </c>
      <c r="B636">
        <v>662</v>
      </c>
      <c r="C636" s="677" t="s">
        <v>2478</v>
      </c>
      <c r="D636" t="s">
        <v>2477</v>
      </c>
      <c r="E636">
        <f t="shared" si="40"/>
        <v>255</v>
      </c>
      <c r="F636">
        <f t="shared" si="41"/>
        <v>28</v>
      </c>
      <c r="G636">
        <f t="shared" si="42"/>
        <v>172</v>
      </c>
    </row>
    <row r="637" spans="1:7" x14ac:dyDescent="0.15">
      <c r="A637" t="str">
        <f t="shared" si="39"/>
        <v>807</v>
      </c>
      <c r="B637">
        <v>663</v>
      </c>
      <c r="C637" s="678" t="s">
        <v>2480</v>
      </c>
      <c r="D637" t="s">
        <v>2479</v>
      </c>
      <c r="E637">
        <f t="shared" si="40"/>
        <v>215</v>
      </c>
      <c r="F637">
        <f t="shared" si="41"/>
        <v>8</v>
      </c>
      <c r="G637">
        <f t="shared" si="42"/>
        <v>178</v>
      </c>
    </row>
    <row r="638" spans="1:7" x14ac:dyDescent="0.15">
      <c r="A638" t="str">
        <f t="shared" si="39"/>
        <v>808</v>
      </c>
      <c r="B638">
        <v>664</v>
      </c>
      <c r="C638" s="679" t="s">
        <v>2482</v>
      </c>
      <c r="D638" t="s">
        <v>2481</v>
      </c>
      <c r="E638">
        <f t="shared" si="40"/>
        <v>0</v>
      </c>
      <c r="F638">
        <f t="shared" si="41"/>
        <v>174</v>
      </c>
      <c r="G638">
        <f t="shared" si="42"/>
        <v>151</v>
      </c>
    </row>
    <row r="639" spans="1:7" x14ac:dyDescent="0.15">
      <c r="A639" t="str">
        <f t="shared" si="39"/>
        <v>809</v>
      </c>
      <c r="B639">
        <v>665</v>
      </c>
      <c r="C639" s="680" t="s">
        <v>2484</v>
      </c>
      <c r="D639" t="s">
        <v>2483</v>
      </c>
      <c r="E639">
        <f t="shared" si="40"/>
        <v>225</v>
      </c>
      <c r="F639">
        <f t="shared" si="41"/>
        <v>228</v>
      </c>
      <c r="G639">
        <f t="shared" si="42"/>
        <v>0</v>
      </c>
    </row>
    <row r="640" spans="1:7" x14ac:dyDescent="0.15">
      <c r="A640" t="str">
        <f t="shared" si="39"/>
        <v>810</v>
      </c>
      <c r="B640">
        <v>666</v>
      </c>
      <c r="C640" s="681" t="s">
        <v>2486</v>
      </c>
      <c r="D640" t="s">
        <v>2485</v>
      </c>
      <c r="E640">
        <f t="shared" si="40"/>
        <v>255</v>
      </c>
      <c r="F640">
        <f t="shared" si="41"/>
        <v>206</v>
      </c>
      <c r="G640">
        <f t="shared" si="42"/>
        <v>9</v>
      </c>
    </row>
    <row r="641" spans="1:7" x14ac:dyDescent="0.15">
      <c r="A641" t="str">
        <f t="shared" si="39"/>
        <v>811</v>
      </c>
      <c r="B641">
        <v>667</v>
      </c>
      <c r="C641" s="682" t="s">
        <v>2488</v>
      </c>
      <c r="D641" t="s">
        <v>2487</v>
      </c>
      <c r="E641">
        <f t="shared" si="40"/>
        <v>255</v>
      </c>
      <c r="F641">
        <f t="shared" si="41"/>
        <v>119</v>
      </c>
      <c r="G641">
        <f t="shared" si="42"/>
        <v>80</v>
      </c>
    </row>
    <row r="642" spans="1:7" x14ac:dyDescent="0.15">
      <c r="A642" t="str">
        <f t="shared" si="39"/>
        <v>812</v>
      </c>
      <c r="B642">
        <v>668</v>
      </c>
      <c r="C642" s="683" t="s">
        <v>2490</v>
      </c>
      <c r="D642" t="s">
        <v>2489</v>
      </c>
      <c r="E642">
        <f t="shared" si="40"/>
        <v>255</v>
      </c>
      <c r="F642">
        <f t="shared" si="41"/>
        <v>52</v>
      </c>
      <c r="G642">
        <f t="shared" si="42"/>
        <v>133</v>
      </c>
    </row>
    <row r="643" spans="1:7" x14ac:dyDescent="0.15">
      <c r="A643" t="str">
        <f t="shared" ref="A643:A706" si="43">LEFT(D643,LEN(D643)-1)</f>
        <v>813</v>
      </c>
      <c r="B643">
        <v>669</v>
      </c>
      <c r="C643" s="684" t="s">
        <v>2492</v>
      </c>
      <c r="D643" t="s">
        <v>2491</v>
      </c>
      <c r="E643">
        <f t="shared" si="40"/>
        <v>234</v>
      </c>
      <c r="F643">
        <f t="shared" si="41"/>
        <v>18</v>
      </c>
      <c r="G643">
        <f t="shared" si="42"/>
        <v>175</v>
      </c>
    </row>
    <row r="644" spans="1:7" x14ac:dyDescent="0.15">
      <c r="A644" t="str">
        <f t="shared" si="43"/>
        <v>814</v>
      </c>
      <c r="B644">
        <v>670</v>
      </c>
      <c r="C644" s="685" t="s">
        <v>2494</v>
      </c>
      <c r="D644" t="s">
        <v>2493</v>
      </c>
      <c r="E644">
        <f t="shared" si="40"/>
        <v>126</v>
      </c>
      <c r="F644">
        <f t="shared" si="41"/>
        <v>96</v>
      </c>
      <c r="G644">
        <f t="shared" si="42"/>
        <v>206</v>
      </c>
    </row>
    <row r="645" spans="1:7" x14ac:dyDescent="0.15">
      <c r="A645" t="str">
        <f t="shared" si="43"/>
        <v>1215</v>
      </c>
      <c r="B645">
        <v>672</v>
      </c>
      <c r="C645" s="686" t="s">
        <v>2496</v>
      </c>
      <c r="D645" t="s">
        <v>2495</v>
      </c>
      <c r="E645">
        <f t="shared" si="40"/>
        <v>245</v>
      </c>
      <c r="F645">
        <f t="shared" si="41"/>
        <v>221</v>
      </c>
      <c r="G645">
        <f t="shared" si="42"/>
        <v>146</v>
      </c>
    </row>
    <row r="646" spans="1:7" x14ac:dyDescent="0.15">
      <c r="A646" t="str">
        <f t="shared" si="43"/>
        <v>1225</v>
      </c>
      <c r="B646">
        <v>673</v>
      </c>
      <c r="C646" s="687" t="s">
        <v>2498</v>
      </c>
      <c r="D646" t="s">
        <v>2497</v>
      </c>
      <c r="E646">
        <f t="shared" ref="E646:E709" si="44">HEX2DEC(MID(C646,2,2))</f>
        <v>253</v>
      </c>
      <c r="F646">
        <f t="shared" ref="F646:F709" si="45">HEX2DEC(MID(C646,4,2))</f>
        <v>199</v>
      </c>
      <c r="G646">
        <f t="shared" ref="G646:G709" si="46">HEX2DEC(MID(C646,6,2))</f>
        <v>69</v>
      </c>
    </row>
    <row r="647" spans="1:7" x14ac:dyDescent="0.15">
      <c r="A647" t="str">
        <f t="shared" si="43"/>
        <v>1235</v>
      </c>
      <c r="B647">
        <v>674</v>
      </c>
      <c r="C647" s="688" t="s">
        <v>2500</v>
      </c>
      <c r="D647" t="s">
        <v>2499</v>
      </c>
      <c r="E647">
        <f t="shared" si="44"/>
        <v>255</v>
      </c>
      <c r="F647">
        <f t="shared" si="45"/>
        <v>179</v>
      </c>
      <c r="G647">
        <f t="shared" si="46"/>
        <v>0</v>
      </c>
    </row>
    <row r="648" spans="1:7" x14ac:dyDescent="0.15">
      <c r="A648" t="str">
        <f t="shared" si="43"/>
        <v>1245</v>
      </c>
      <c r="B648">
        <v>675</v>
      </c>
      <c r="C648" s="689" t="s">
        <v>2502</v>
      </c>
      <c r="D648" t="s">
        <v>2501</v>
      </c>
      <c r="E648">
        <f t="shared" si="44"/>
        <v>198</v>
      </c>
      <c r="F648">
        <f t="shared" si="45"/>
        <v>146</v>
      </c>
      <c r="G648">
        <f t="shared" si="46"/>
        <v>0</v>
      </c>
    </row>
    <row r="649" spans="1:7" x14ac:dyDescent="0.15">
      <c r="A649" t="str">
        <f t="shared" si="43"/>
        <v>1255</v>
      </c>
      <c r="B649">
        <v>676</v>
      </c>
      <c r="C649" s="690" t="s">
        <v>2504</v>
      </c>
      <c r="D649" t="s">
        <v>2503</v>
      </c>
      <c r="E649">
        <f t="shared" si="44"/>
        <v>170</v>
      </c>
      <c r="F649">
        <f t="shared" si="45"/>
        <v>128</v>
      </c>
      <c r="G649">
        <f t="shared" si="46"/>
        <v>14</v>
      </c>
    </row>
    <row r="650" spans="1:7" x14ac:dyDescent="0.15">
      <c r="A650" t="str">
        <f t="shared" si="43"/>
        <v>1265</v>
      </c>
      <c r="B650">
        <v>677</v>
      </c>
      <c r="C650" s="691" t="s">
        <v>2506</v>
      </c>
      <c r="D650" t="s">
        <v>2505</v>
      </c>
      <c r="E650">
        <f t="shared" si="44"/>
        <v>131</v>
      </c>
      <c r="F650">
        <f t="shared" si="45"/>
        <v>101</v>
      </c>
      <c r="G650">
        <f t="shared" si="46"/>
        <v>20</v>
      </c>
    </row>
    <row r="651" spans="1:7" x14ac:dyDescent="0.15">
      <c r="A651" t="str">
        <f t="shared" si="43"/>
        <v>1345</v>
      </c>
      <c r="B651">
        <v>678</v>
      </c>
      <c r="C651" s="692" t="s">
        <v>2508</v>
      </c>
      <c r="D651" t="s">
        <v>2507</v>
      </c>
      <c r="E651">
        <f t="shared" si="44"/>
        <v>251</v>
      </c>
      <c r="F651">
        <f t="shared" si="45"/>
        <v>207</v>
      </c>
      <c r="G651">
        <f t="shared" si="46"/>
        <v>141</v>
      </c>
    </row>
    <row r="652" spans="1:7" x14ac:dyDescent="0.15">
      <c r="A652" t="str">
        <f t="shared" si="43"/>
        <v>1355</v>
      </c>
      <c r="B652">
        <v>679</v>
      </c>
      <c r="C652" s="693" t="s">
        <v>2510</v>
      </c>
      <c r="D652" t="s">
        <v>2509</v>
      </c>
      <c r="E652">
        <f t="shared" si="44"/>
        <v>253</v>
      </c>
      <c r="F652">
        <f t="shared" si="45"/>
        <v>200</v>
      </c>
      <c r="G652">
        <f t="shared" si="46"/>
        <v>125</v>
      </c>
    </row>
    <row r="653" spans="1:7" x14ac:dyDescent="0.15">
      <c r="A653" t="str">
        <f t="shared" si="43"/>
        <v>1365</v>
      </c>
      <c r="B653">
        <v>680</v>
      </c>
      <c r="C653" s="694" t="s">
        <v>2512</v>
      </c>
      <c r="D653" t="s">
        <v>2511</v>
      </c>
      <c r="E653">
        <f t="shared" si="44"/>
        <v>255</v>
      </c>
      <c r="F653">
        <f t="shared" si="45"/>
        <v>183</v>
      </c>
      <c r="G653">
        <f t="shared" si="46"/>
        <v>84</v>
      </c>
    </row>
    <row r="654" spans="1:7" x14ac:dyDescent="0.15">
      <c r="A654" t="str">
        <f t="shared" si="43"/>
        <v>1375</v>
      </c>
      <c r="B654">
        <v>681</v>
      </c>
      <c r="C654" s="695" t="s">
        <v>2514</v>
      </c>
      <c r="D654" t="s">
        <v>2513</v>
      </c>
      <c r="E654">
        <f t="shared" si="44"/>
        <v>255</v>
      </c>
      <c r="F654">
        <f t="shared" si="45"/>
        <v>154</v>
      </c>
      <c r="G654">
        <f t="shared" si="46"/>
        <v>0</v>
      </c>
    </row>
    <row r="655" spans="1:7" x14ac:dyDescent="0.15">
      <c r="A655" t="str">
        <f t="shared" si="43"/>
        <v>1385</v>
      </c>
      <c r="B655">
        <v>682</v>
      </c>
      <c r="C655" s="696" t="s">
        <v>2516</v>
      </c>
      <c r="D655" t="s">
        <v>2515</v>
      </c>
      <c r="E655">
        <f t="shared" si="44"/>
        <v>214</v>
      </c>
      <c r="F655">
        <f t="shared" si="45"/>
        <v>117</v>
      </c>
      <c r="G655">
        <f t="shared" si="46"/>
        <v>0</v>
      </c>
    </row>
    <row r="656" spans="1:7" x14ac:dyDescent="0.15">
      <c r="A656" t="str">
        <f t="shared" si="43"/>
        <v>1395</v>
      </c>
      <c r="B656">
        <v>683</v>
      </c>
      <c r="C656" s="697" t="s">
        <v>2518</v>
      </c>
      <c r="D656" t="s">
        <v>2517</v>
      </c>
      <c r="E656">
        <f t="shared" si="44"/>
        <v>158</v>
      </c>
      <c r="F656">
        <f t="shared" si="45"/>
        <v>98</v>
      </c>
      <c r="G656">
        <f t="shared" si="46"/>
        <v>9</v>
      </c>
    </row>
    <row r="657" spans="1:7" x14ac:dyDescent="0.15">
      <c r="A657" t="str">
        <f t="shared" si="43"/>
        <v>1405</v>
      </c>
      <c r="B657">
        <v>684</v>
      </c>
      <c r="C657" s="698" t="s">
        <v>2520</v>
      </c>
      <c r="D657" t="s">
        <v>2519</v>
      </c>
      <c r="E657">
        <f t="shared" si="44"/>
        <v>108</v>
      </c>
      <c r="F657">
        <f t="shared" si="45"/>
        <v>71</v>
      </c>
      <c r="G657">
        <f t="shared" si="46"/>
        <v>19</v>
      </c>
    </row>
    <row r="658" spans="1:7" x14ac:dyDescent="0.15">
      <c r="A658" t="str">
        <f t="shared" si="43"/>
        <v>1485</v>
      </c>
      <c r="B658">
        <v>685</v>
      </c>
      <c r="C658" s="699" t="s">
        <v>2522</v>
      </c>
      <c r="D658" t="s">
        <v>2521</v>
      </c>
      <c r="E658">
        <f t="shared" si="44"/>
        <v>255</v>
      </c>
      <c r="F658">
        <f t="shared" si="45"/>
        <v>181</v>
      </c>
      <c r="G658">
        <f t="shared" si="46"/>
        <v>123</v>
      </c>
    </row>
    <row r="659" spans="1:7" x14ac:dyDescent="0.15">
      <c r="A659" t="str">
        <f t="shared" si="43"/>
        <v>1495</v>
      </c>
      <c r="B659">
        <v>686</v>
      </c>
      <c r="C659" s="700" t="s">
        <v>2524</v>
      </c>
      <c r="D659" t="s">
        <v>2523</v>
      </c>
      <c r="E659">
        <f t="shared" si="44"/>
        <v>255</v>
      </c>
      <c r="F659">
        <f t="shared" si="45"/>
        <v>150</v>
      </c>
      <c r="G659">
        <f t="shared" si="46"/>
        <v>59</v>
      </c>
    </row>
    <row r="660" spans="1:7" x14ac:dyDescent="0.15">
      <c r="A660" t="str">
        <f t="shared" si="43"/>
        <v>1505</v>
      </c>
      <c r="B660">
        <v>687</v>
      </c>
      <c r="C660" s="701" t="s">
        <v>2526</v>
      </c>
      <c r="D660" t="s">
        <v>2525</v>
      </c>
      <c r="E660">
        <f t="shared" si="44"/>
        <v>255</v>
      </c>
      <c r="F660">
        <f t="shared" si="45"/>
        <v>114</v>
      </c>
      <c r="G660">
        <f t="shared" si="46"/>
        <v>0</v>
      </c>
    </row>
    <row r="661" spans="1:7" x14ac:dyDescent="0.15">
      <c r="A661" t="str">
        <f t="shared" si="43"/>
        <v xml:space="preserve">Orange 021 </v>
      </c>
      <c r="B661">
        <v>688</v>
      </c>
      <c r="C661" s="702" t="s">
        <v>2528</v>
      </c>
      <c r="D661" t="s">
        <v>2527</v>
      </c>
      <c r="E661">
        <f t="shared" si="44"/>
        <v>239</v>
      </c>
      <c r="F661">
        <f t="shared" si="45"/>
        <v>107</v>
      </c>
      <c r="G661">
        <f t="shared" si="46"/>
        <v>0</v>
      </c>
    </row>
    <row r="662" spans="1:7" x14ac:dyDescent="0.15">
      <c r="A662" t="str">
        <f t="shared" si="43"/>
        <v>1525</v>
      </c>
      <c r="B662">
        <v>689</v>
      </c>
      <c r="C662" s="703" t="s">
        <v>2530</v>
      </c>
      <c r="D662" t="s">
        <v>2529</v>
      </c>
      <c r="E662">
        <f t="shared" si="44"/>
        <v>202</v>
      </c>
      <c r="F662">
        <f t="shared" si="45"/>
        <v>78</v>
      </c>
      <c r="G662">
        <f t="shared" si="46"/>
        <v>0</v>
      </c>
    </row>
    <row r="663" spans="1:7" x14ac:dyDescent="0.15">
      <c r="A663" t="str">
        <f t="shared" si="43"/>
        <v>1535</v>
      </c>
      <c r="B663">
        <v>690</v>
      </c>
      <c r="C663" s="704" t="s">
        <v>2532</v>
      </c>
      <c r="D663" t="s">
        <v>2531</v>
      </c>
      <c r="E663">
        <f t="shared" si="44"/>
        <v>147</v>
      </c>
      <c r="F663">
        <f t="shared" si="45"/>
        <v>63</v>
      </c>
      <c r="G663">
        <f t="shared" si="46"/>
        <v>0</v>
      </c>
    </row>
    <row r="664" spans="1:7" x14ac:dyDescent="0.15">
      <c r="A664" t="str">
        <f t="shared" si="43"/>
        <v>1545</v>
      </c>
      <c r="B664">
        <v>691</v>
      </c>
      <c r="C664" s="705" t="s">
        <v>2534</v>
      </c>
      <c r="D664" t="s">
        <v>2533</v>
      </c>
      <c r="E664">
        <f t="shared" si="44"/>
        <v>81</v>
      </c>
      <c r="F664">
        <f t="shared" si="45"/>
        <v>38</v>
      </c>
      <c r="G664">
        <f t="shared" si="46"/>
        <v>11</v>
      </c>
    </row>
    <row r="665" spans="1:7" x14ac:dyDescent="0.15">
      <c r="A665" t="str">
        <f t="shared" si="43"/>
        <v>1555</v>
      </c>
      <c r="B665">
        <v>693</v>
      </c>
      <c r="C665" s="706" t="s">
        <v>2536</v>
      </c>
      <c r="D665" t="s">
        <v>2535</v>
      </c>
      <c r="E665">
        <f t="shared" si="44"/>
        <v>255</v>
      </c>
      <c r="F665">
        <f t="shared" si="45"/>
        <v>191</v>
      </c>
      <c r="G665">
        <f t="shared" si="46"/>
        <v>160</v>
      </c>
    </row>
    <row r="666" spans="1:7" x14ac:dyDescent="0.15">
      <c r="A666" t="str">
        <f t="shared" si="43"/>
        <v>1565</v>
      </c>
      <c r="B666">
        <v>694</v>
      </c>
      <c r="C666" s="707" t="s">
        <v>2538</v>
      </c>
      <c r="D666" t="s">
        <v>2537</v>
      </c>
      <c r="E666">
        <f t="shared" si="44"/>
        <v>255</v>
      </c>
      <c r="F666">
        <f t="shared" si="45"/>
        <v>169</v>
      </c>
      <c r="G666">
        <f t="shared" si="46"/>
        <v>125</v>
      </c>
    </row>
    <row r="667" spans="1:7" x14ac:dyDescent="0.15">
      <c r="A667" t="str">
        <f t="shared" si="43"/>
        <v>1575</v>
      </c>
      <c r="B667">
        <v>695</v>
      </c>
      <c r="C667" s="708" t="s">
        <v>2540</v>
      </c>
      <c r="D667" t="s">
        <v>2539</v>
      </c>
      <c r="E667">
        <f t="shared" si="44"/>
        <v>255</v>
      </c>
      <c r="F667">
        <f t="shared" si="45"/>
        <v>134</v>
      </c>
      <c r="G667">
        <f t="shared" si="46"/>
        <v>66</v>
      </c>
    </row>
    <row r="668" spans="1:7" x14ac:dyDescent="0.15">
      <c r="A668" t="str">
        <f t="shared" si="43"/>
        <v>1585</v>
      </c>
      <c r="B668">
        <v>696</v>
      </c>
      <c r="C668" s="709" t="s">
        <v>2542</v>
      </c>
      <c r="D668" t="s">
        <v>2541</v>
      </c>
      <c r="E668">
        <f t="shared" si="44"/>
        <v>255</v>
      </c>
      <c r="F668">
        <f t="shared" si="45"/>
        <v>105</v>
      </c>
      <c r="G668">
        <f t="shared" si="46"/>
        <v>0</v>
      </c>
    </row>
    <row r="669" spans="1:7" x14ac:dyDescent="0.15">
      <c r="A669" t="str">
        <f t="shared" si="43"/>
        <v>1595</v>
      </c>
      <c r="B669">
        <v>697</v>
      </c>
      <c r="C669" s="710" t="s">
        <v>2544</v>
      </c>
      <c r="D669" t="s">
        <v>2543</v>
      </c>
      <c r="E669">
        <f t="shared" si="44"/>
        <v>218</v>
      </c>
      <c r="F669">
        <f t="shared" si="45"/>
        <v>92</v>
      </c>
      <c r="G669">
        <f t="shared" si="46"/>
        <v>5</v>
      </c>
    </row>
    <row r="670" spans="1:7" x14ac:dyDescent="0.15">
      <c r="A670" t="str">
        <f t="shared" si="43"/>
        <v>1605</v>
      </c>
      <c r="B670">
        <v>698</v>
      </c>
      <c r="C670" s="711" t="s">
        <v>2546</v>
      </c>
      <c r="D670" t="s">
        <v>2545</v>
      </c>
      <c r="E670">
        <f t="shared" si="44"/>
        <v>162</v>
      </c>
      <c r="F670">
        <f t="shared" si="45"/>
        <v>74</v>
      </c>
      <c r="G670">
        <f t="shared" si="46"/>
        <v>19</v>
      </c>
    </row>
    <row r="671" spans="1:7" x14ac:dyDescent="0.15">
      <c r="A671" t="str">
        <f t="shared" si="43"/>
        <v>1615</v>
      </c>
      <c r="B671">
        <v>699</v>
      </c>
      <c r="C671" s="712" t="s">
        <v>2548</v>
      </c>
      <c r="D671" t="s">
        <v>2547</v>
      </c>
      <c r="E671">
        <f t="shared" si="44"/>
        <v>133</v>
      </c>
      <c r="F671">
        <f t="shared" si="45"/>
        <v>60</v>
      </c>
      <c r="G671">
        <f t="shared" si="46"/>
        <v>16</v>
      </c>
    </row>
    <row r="672" spans="1:7" x14ac:dyDescent="0.15">
      <c r="A672" t="str">
        <f t="shared" si="43"/>
        <v>1625</v>
      </c>
      <c r="B672">
        <v>700</v>
      </c>
      <c r="C672" s="713" t="s">
        <v>2550</v>
      </c>
      <c r="D672" t="s">
        <v>2549</v>
      </c>
      <c r="E672">
        <f t="shared" si="44"/>
        <v>255</v>
      </c>
      <c r="F672">
        <f t="shared" si="45"/>
        <v>162</v>
      </c>
      <c r="G672">
        <f t="shared" si="46"/>
        <v>139</v>
      </c>
    </row>
    <row r="673" spans="1:7" x14ac:dyDescent="0.15">
      <c r="A673" t="str">
        <f t="shared" si="43"/>
        <v>1635</v>
      </c>
      <c r="B673">
        <v>701</v>
      </c>
      <c r="C673" s="714" t="s">
        <v>2552</v>
      </c>
      <c r="D673" t="s">
        <v>2551</v>
      </c>
      <c r="E673">
        <f t="shared" si="44"/>
        <v>255</v>
      </c>
      <c r="F673">
        <f t="shared" si="45"/>
        <v>142</v>
      </c>
      <c r="G673">
        <f t="shared" si="46"/>
        <v>112</v>
      </c>
    </row>
    <row r="674" spans="1:7" x14ac:dyDescent="0.15">
      <c r="A674" t="str">
        <f t="shared" si="43"/>
        <v>1645</v>
      </c>
      <c r="B674">
        <v>702</v>
      </c>
      <c r="C674" s="715" t="s">
        <v>2554</v>
      </c>
      <c r="D674" t="s">
        <v>2553</v>
      </c>
      <c r="E674">
        <f t="shared" si="44"/>
        <v>255</v>
      </c>
      <c r="F674">
        <f t="shared" si="45"/>
        <v>108</v>
      </c>
      <c r="G674">
        <f t="shared" si="46"/>
        <v>59</v>
      </c>
    </row>
    <row r="675" spans="1:7" x14ac:dyDescent="0.15">
      <c r="A675" t="str">
        <f t="shared" si="43"/>
        <v>1655</v>
      </c>
      <c r="B675">
        <v>703</v>
      </c>
      <c r="C675" s="716" t="s">
        <v>2556</v>
      </c>
      <c r="D675" t="s">
        <v>2555</v>
      </c>
      <c r="E675">
        <f t="shared" si="44"/>
        <v>255</v>
      </c>
      <c r="F675">
        <f t="shared" si="45"/>
        <v>82</v>
      </c>
      <c r="G675">
        <f t="shared" si="46"/>
        <v>0</v>
      </c>
    </row>
    <row r="676" spans="1:7" x14ac:dyDescent="0.15">
      <c r="A676" t="str">
        <f t="shared" si="43"/>
        <v>1665</v>
      </c>
      <c r="B676">
        <v>704</v>
      </c>
      <c r="C676" s="717" t="s">
        <v>2558</v>
      </c>
      <c r="D676" t="s">
        <v>2557</v>
      </c>
      <c r="E676">
        <f t="shared" si="44"/>
        <v>229</v>
      </c>
      <c r="F676">
        <f t="shared" si="45"/>
        <v>72</v>
      </c>
      <c r="G676">
        <f t="shared" si="46"/>
        <v>0</v>
      </c>
    </row>
    <row r="677" spans="1:7" x14ac:dyDescent="0.15">
      <c r="A677" t="str">
        <f t="shared" si="43"/>
        <v>1675</v>
      </c>
      <c r="B677">
        <v>705</v>
      </c>
      <c r="C677" s="718" t="s">
        <v>2560</v>
      </c>
      <c r="D677" t="s">
        <v>2559</v>
      </c>
      <c r="E677">
        <f t="shared" si="44"/>
        <v>168</v>
      </c>
      <c r="F677">
        <f t="shared" si="45"/>
        <v>60</v>
      </c>
      <c r="G677">
        <f t="shared" si="46"/>
        <v>15</v>
      </c>
    </row>
    <row r="678" spans="1:7" x14ac:dyDescent="0.15">
      <c r="A678" t="str">
        <f t="shared" si="43"/>
        <v>1685</v>
      </c>
      <c r="B678">
        <v>706</v>
      </c>
      <c r="C678" s="719" t="s">
        <v>2562</v>
      </c>
      <c r="D678" t="s">
        <v>2561</v>
      </c>
      <c r="E678">
        <f t="shared" si="44"/>
        <v>134</v>
      </c>
      <c r="F678">
        <f t="shared" si="45"/>
        <v>53</v>
      </c>
      <c r="G678">
        <f t="shared" si="46"/>
        <v>20</v>
      </c>
    </row>
    <row r="679" spans="1:7" x14ac:dyDescent="0.15">
      <c r="A679" t="str">
        <f t="shared" si="43"/>
        <v>1765</v>
      </c>
      <c r="B679">
        <v>707</v>
      </c>
      <c r="C679" s="720" t="s">
        <v>2564</v>
      </c>
      <c r="D679" t="s">
        <v>2563</v>
      </c>
      <c r="E679">
        <f t="shared" si="44"/>
        <v>254</v>
      </c>
      <c r="F679">
        <f t="shared" si="45"/>
        <v>157</v>
      </c>
      <c r="G679">
        <f t="shared" si="46"/>
        <v>176</v>
      </c>
    </row>
    <row r="680" spans="1:7" x14ac:dyDescent="0.15">
      <c r="A680" t="str">
        <f t="shared" si="43"/>
        <v>1767</v>
      </c>
      <c r="B680">
        <v>708</v>
      </c>
      <c r="C680" s="721" t="s">
        <v>2566</v>
      </c>
      <c r="D680" t="s">
        <v>2565</v>
      </c>
      <c r="E680">
        <f t="shared" si="44"/>
        <v>250</v>
      </c>
      <c r="F680">
        <f t="shared" si="45"/>
        <v>175</v>
      </c>
      <c r="G680">
        <f t="shared" si="46"/>
        <v>194</v>
      </c>
    </row>
    <row r="681" spans="1:7" x14ac:dyDescent="0.15">
      <c r="A681" t="str">
        <f t="shared" si="43"/>
        <v>1775</v>
      </c>
      <c r="B681">
        <v>709</v>
      </c>
      <c r="C681" s="722" t="s">
        <v>2568</v>
      </c>
      <c r="D681" t="s">
        <v>2567</v>
      </c>
      <c r="E681">
        <f t="shared" si="44"/>
        <v>255</v>
      </c>
      <c r="F681">
        <f t="shared" si="45"/>
        <v>133</v>
      </c>
      <c r="G681">
        <f t="shared" si="46"/>
        <v>154</v>
      </c>
    </row>
    <row r="682" spans="1:7" x14ac:dyDescent="0.15">
      <c r="A682" t="str">
        <f t="shared" si="43"/>
        <v>1777</v>
      </c>
      <c r="B682">
        <v>710</v>
      </c>
      <c r="C682" s="723" t="s">
        <v>2570</v>
      </c>
      <c r="D682" t="s">
        <v>2569</v>
      </c>
      <c r="E682">
        <f t="shared" si="44"/>
        <v>251</v>
      </c>
      <c r="F682">
        <f t="shared" si="45"/>
        <v>101</v>
      </c>
      <c r="G682">
        <f t="shared" si="46"/>
        <v>129</v>
      </c>
    </row>
    <row r="683" spans="1:7" x14ac:dyDescent="0.15">
      <c r="A683" t="str">
        <f t="shared" si="43"/>
        <v>1785</v>
      </c>
      <c r="B683">
        <v>711</v>
      </c>
      <c r="C683" s="724" t="s">
        <v>2572</v>
      </c>
      <c r="D683" t="s">
        <v>2571</v>
      </c>
      <c r="E683">
        <f t="shared" si="44"/>
        <v>249</v>
      </c>
      <c r="F683">
        <f t="shared" si="45"/>
        <v>69</v>
      </c>
      <c r="G683">
        <f t="shared" si="46"/>
        <v>91</v>
      </c>
    </row>
    <row r="684" spans="1:7" x14ac:dyDescent="0.15">
      <c r="A684" t="str">
        <f t="shared" si="43"/>
        <v>1787</v>
      </c>
      <c r="B684">
        <v>712</v>
      </c>
      <c r="C684" s="725" t="s">
        <v>2574</v>
      </c>
      <c r="D684" t="s">
        <v>2573</v>
      </c>
      <c r="E684">
        <f t="shared" si="44"/>
        <v>249</v>
      </c>
      <c r="F684">
        <f t="shared" si="45"/>
        <v>66</v>
      </c>
      <c r="G684">
        <f t="shared" si="46"/>
        <v>95</v>
      </c>
    </row>
    <row r="685" spans="1:7" x14ac:dyDescent="0.15">
      <c r="A685" t="str">
        <f t="shared" si="43"/>
        <v xml:space="preserve">Red 032 </v>
      </c>
      <c r="B685">
        <v>713</v>
      </c>
      <c r="C685" s="726" t="s">
        <v>2576</v>
      </c>
      <c r="D685" t="s">
        <v>2575</v>
      </c>
      <c r="E685">
        <f t="shared" si="44"/>
        <v>239</v>
      </c>
      <c r="F685">
        <f t="shared" si="45"/>
        <v>43</v>
      </c>
      <c r="G685">
        <f t="shared" si="46"/>
        <v>45</v>
      </c>
    </row>
    <row r="686" spans="1:7" x14ac:dyDescent="0.15">
      <c r="A686" t="str">
        <f t="shared" si="43"/>
        <v>1788</v>
      </c>
      <c r="B686">
        <v>715</v>
      </c>
      <c r="C686" s="727" t="s">
        <v>2578</v>
      </c>
      <c r="D686" t="s">
        <v>2577</v>
      </c>
      <c r="E686">
        <f t="shared" si="44"/>
        <v>240</v>
      </c>
      <c r="F686">
        <f t="shared" si="45"/>
        <v>34</v>
      </c>
      <c r="G686">
        <f t="shared" si="46"/>
        <v>51</v>
      </c>
    </row>
    <row r="687" spans="1:7" x14ac:dyDescent="0.15">
      <c r="A687" t="str">
        <f t="shared" si="43"/>
        <v>1795</v>
      </c>
      <c r="B687">
        <v>716</v>
      </c>
      <c r="C687" s="728" t="s">
        <v>2580</v>
      </c>
      <c r="D687" t="s">
        <v>2579</v>
      </c>
      <c r="E687">
        <f t="shared" si="44"/>
        <v>216</v>
      </c>
      <c r="F687">
        <f t="shared" si="45"/>
        <v>31</v>
      </c>
      <c r="G687">
        <f t="shared" si="46"/>
        <v>42</v>
      </c>
    </row>
    <row r="688" spans="1:7" x14ac:dyDescent="0.15">
      <c r="A688" t="str">
        <f t="shared" si="43"/>
        <v>1797</v>
      </c>
      <c r="B688">
        <v>717</v>
      </c>
      <c r="C688" s="729" t="s">
        <v>2582</v>
      </c>
      <c r="D688" t="s">
        <v>2581</v>
      </c>
      <c r="E688">
        <f t="shared" si="44"/>
        <v>208</v>
      </c>
      <c r="F688">
        <f t="shared" si="45"/>
        <v>36</v>
      </c>
      <c r="G688">
        <f t="shared" si="46"/>
        <v>51</v>
      </c>
    </row>
    <row r="689" spans="1:7" x14ac:dyDescent="0.15">
      <c r="A689" t="str">
        <f t="shared" si="43"/>
        <v>1805</v>
      </c>
      <c r="B689">
        <v>718</v>
      </c>
      <c r="C689" s="730" t="s">
        <v>2584</v>
      </c>
      <c r="D689" t="s">
        <v>2583</v>
      </c>
      <c r="E689">
        <f t="shared" si="44"/>
        <v>176</v>
      </c>
      <c r="F689">
        <f t="shared" si="45"/>
        <v>35</v>
      </c>
      <c r="G689">
        <f t="shared" si="46"/>
        <v>42</v>
      </c>
    </row>
    <row r="690" spans="1:7" x14ac:dyDescent="0.15">
      <c r="A690" t="str">
        <f t="shared" si="43"/>
        <v>1807</v>
      </c>
      <c r="B690">
        <v>719</v>
      </c>
      <c r="C690" s="731" t="s">
        <v>2586</v>
      </c>
      <c r="D690" t="s">
        <v>2585</v>
      </c>
      <c r="E690">
        <f t="shared" si="44"/>
        <v>161</v>
      </c>
      <c r="F690">
        <f t="shared" si="45"/>
        <v>40</v>
      </c>
      <c r="G690">
        <f t="shared" si="46"/>
        <v>48</v>
      </c>
    </row>
    <row r="691" spans="1:7" x14ac:dyDescent="0.15">
      <c r="A691" t="str">
        <f t="shared" si="43"/>
        <v>1815</v>
      </c>
      <c r="B691">
        <v>720</v>
      </c>
      <c r="C691" s="732" t="s">
        <v>2588</v>
      </c>
      <c r="D691" t="s">
        <v>2587</v>
      </c>
      <c r="E691">
        <f t="shared" si="44"/>
        <v>124</v>
      </c>
      <c r="F691">
        <f t="shared" si="45"/>
        <v>33</v>
      </c>
      <c r="G691">
        <f t="shared" si="46"/>
        <v>30</v>
      </c>
    </row>
    <row r="692" spans="1:7" x14ac:dyDescent="0.15">
      <c r="A692" t="str">
        <f t="shared" si="43"/>
        <v>1817</v>
      </c>
      <c r="B692">
        <v>721</v>
      </c>
      <c r="C692" s="733" t="s">
        <v>2590</v>
      </c>
      <c r="D692" t="s">
        <v>2589</v>
      </c>
      <c r="E692">
        <f t="shared" si="44"/>
        <v>94</v>
      </c>
      <c r="F692">
        <f t="shared" si="45"/>
        <v>39</v>
      </c>
      <c r="G692">
        <f t="shared" si="46"/>
        <v>40</v>
      </c>
    </row>
    <row r="693" spans="1:7" x14ac:dyDescent="0.15">
      <c r="A693" t="str">
        <f t="shared" si="43"/>
        <v>1895</v>
      </c>
      <c r="B693">
        <v>722</v>
      </c>
      <c r="C693" s="734" t="s">
        <v>2592</v>
      </c>
      <c r="D693" t="s">
        <v>2591</v>
      </c>
      <c r="E693">
        <f t="shared" si="44"/>
        <v>243</v>
      </c>
      <c r="F693">
        <f t="shared" si="45"/>
        <v>188</v>
      </c>
      <c r="G693">
        <f t="shared" si="46"/>
        <v>212</v>
      </c>
    </row>
    <row r="694" spans="1:7" x14ac:dyDescent="0.15">
      <c r="A694" t="str">
        <f t="shared" si="43"/>
        <v>1905</v>
      </c>
      <c r="B694">
        <v>723</v>
      </c>
      <c r="C694" s="735" t="s">
        <v>2594</v>
      </c>
      <c r="D694" t="s">
        <v>2593</v>
      </c>
      <c r="E694">
        <f t="shared" si="44"/>
        <v>245</v>
      </c>
      <c r="F694">
        <f t="shared" si="45"/>
        <v>155</v>
      </c>
      <c r="G694">
        <f t="shared" si="46"/>
        <v>189</v>
      </c>
    </row>
    <row r="695" spans="1:7" x14ac:dyDescent="0.15">
      <c r="A695" t="str">
        <f t="shared" si="43"/>
        <v>1915</v>
      </c>
      <c r="B695">
        <v>724</v>
      </c>
      <c r="C695" s="736" t="s">
        <v>2596</v>
      </c>
      <c r="D695" t="s">
        <v>2595</v>
      </c>
      <c r="E695">
        <f t="shared" si="44"/>
        <v>242</v>
      </c>
      <c r="F695">
        <f t="shared" si="45"/>
        <v>85</v>
      </c>
      <c r="G695">
        <f t="shared" si="46"/>
        <v>138</v>
      </c>
    </row>
    <row r="696" spans="1:7" x14ac:dyDescent="0.15">
      <c r="A696" t="str">
        <f t="shared" si="43"/>
        <v>1925</v>
      </c>
      <c r="B696">
        <v>725</v>
      </c>
      <c r="C696" s="737" t="s">
        <v>2598</v>
      </c>
      <c r="D696" t="s">
        <v>2597</v>
      </c>
      <c r="E696">
        <f t="shared" si="44"/>
        <v>228</v>
      </c>
      <c r="F696">
        <f t="shared" si="45"/>
        <v>0</v>
      </c>
      <c r="G696">
        <f t="shared" si="46"/>
        <v>80</v>
      </c>
    </row>
    <row r="697" spans="1:7" x14ac:dyDescent="0.15">
      <c r="A697" t="str">
        <f t="shared" si="43"/>
        <v>1935</v>
      </c>
      <c r="B697">
        <v>726</v>
      </c>
      <c r="C697" s="738" t="s">
        <v>2600</v>
      </c>
      <c r="D697" t="s">
        <v>2599</v>
      </c>
      <c r="E697">
        <f t="shared" si="44"/>
        <v>203</v>
      </c>
      <c r="F697">
        <f t="shared" si="45"/>
        <v>4</v>
      </c>
      <c r="G697">
        <f t="shared" si="46"/>
        <v>71</v>
      </c>
    </row>
    <row r="698" spans="1:7" x14ac:dyDescent="0.15">
      <c r="A698" t="str">
        <f t="shared" si="43"/>
        <v>1945</v>
      </c>
      <c r="B698">
        <v>727</v>
      </c>
      <c r="C698" s="739" t="s">
        <v>2602</v>
      </c>
      <c r="D698" t="s">
        <v>2601</v>
      </c>
      <c r="E698">
        <f t="shared" si="44"/>
        <v>170</v>
      </c>
      <c r="F698">
        <f t="shared" si="45"/>
        <v>17</v>
      </c>
      <c r="G698">
        <f t="shared" si="46"/>
        <v>63</v>
      </c>
    </row>
    <row r="699" spans="1:7" x14ac:dyDescent="0.15">
      <c r="A699" t="str">
        <f t="shared" si="43"/>
        <v>1955</v>
      </c>
      <c r="B699">
        <v>728</v>
      </c>
      <c r="C699" s="740" t="s">
        <v>2604</v>
      </c>
      <c r="D699" t="s">
        <v>2603</v>
      </c>
      <c r="E699">
        <f t="shared" si="44"/>
        <v>147</v>
      </c>
      <c r="F699">
        <f t="shared" si="45"/>
        <v>23</v>
      </c>
      <c r="G699">
        <f t="shared" si="46"/>
        <v>59</v>
      </c>
    </row>
    <row r="700" spans="1:7" x14ac:dyDescent="0.15">
      <c r="A700" t="str">
        <f t="shared" si="43"/>
        <v>2365</v>
      </c>
      <c r="B700">
        <v>729</v>
      </c>
      <c r="C700" s="741" t="s">
        <v>2606</v>
      </c>
      <c r="D700" t="s">
        <v>2605</v>
      </c>
      <c r="E700">
        <f t="shared" si="44"/>
        <v>239</v>
      </c>
      <c r="F700">
        <f t="shared" si="45"/>
        <v>195</v>
      </c>
      <c r="G700">
        <f t="shared" si="46"/>
        <v>228</v>
      </c>
    </row>
    <row r="701" spans="1:7" x14ac:dyDescent="0.15">
      <c r="A701" t="str">
        <f t="shared" si="43"/>
        <v>2375</v>
      </c>
      <c r="B701">
        <v>730</v>
      </c>
      <c r="C701" s="742" t="s">
        <v>2608</v>
      </c>
      <c r="D701" t="s">
        <v>2607</v>
      </c>
      <c r="E701">
        <f t="shared" si="44"/>
        <v>226</v>
      </c>
      <c r="F701">
        <f t="shared" si="45"/>
        <v>112</v>
      </c>
      <c r="G701">
        <f t="shared" si="46"/>
        <v>205</v>
      </c>
    </row>
    <row r="702" spans="1:7" x14ac:dyDescent="0.15">
      <c r="A702" t="str">
        <f t="shared" si="43"/>
        <v>2385</v>
      </c>
      <c r="B702">
        <v>731</v>
      </c>
      <c r="C702" s="743" t="s">
        <v>2610</v>
      </c>
      <c r="D702" t="s">
        <v>2609</v>
      </c>
      <c r="E702">
        <f t="shared" si="44"/>
        <v>215</v>
      </c>
      <c r="F702">
        <f t="shared" si="45"/>
        <v>51</v>
      </c>
      <c r="G702">
        <f t="shared" si="46"/>
        <v>180</v>
      </c>
    </row>
    <row r="703" spans="1:7" x14ac:dyDescent="0.15">
      <c r="A703" t="str">
        <f t="shared" si="43"/>
        <v>2395</v>
      </c>
      <c r="B703">
        <v>732</v>
      </c>
      <c r="C703" s="744" t="s">
        <v>2612</v>
      </c>
      <c r="D703" t="s">
        <v>2611</v>
      </c>
      <c r="E703">
        <f t="shared" si="44"/>
        <v>196</v>
      </c>
      <c r="F703">
        <f t="shared" si="45"/>
        <v>0</v>
      </c>
      <c r="G703">
        <f t="shared" si="46"/>
        <v>152</v>
      </c>
    </row>
    <row r="704" spans="1:7" x14ac:dyDescent="0.15">
      <c r="A704" t="str">
        <f t="shared" si="43"/>
        <v>2405</v>
      </c>
      <c r="B704">
        <v>733</v>
      </c>
      <c r="C704" s="745" t="s">
        <v>2614</v>
      </c>
      <c r="D704" t="s">
        <v>2613</v>
      </c>
      <c r="E704">
        <f t="shared" si="44"/>
        <v>167</v>
      </c>
      <c r="F704">
        <f t="shared" si="45"/>
        <v>0</v>
      </c>
      <c r="G704">
        <f t="shared" si="46"/>
        <v>132</v>
      </c>
    </row>
    <row r="705" spans="1:7" x14ac:dyDescent="0.15">
      <c r="A705" t="str">
        <f t="shared" si="43"/>
        <v>2415</v>
      </c>
      <c r="B705">
        <v>734</v>
      </c>
      <c r="C705" s="746" t="s">
        <v>2616</v>
      </c>
      <c r="D705" t="s">
        <v>2615</v>
      </c>
      <c r="E705">
        <f t="shared" si="44"/>
        <v>151</v>
      </c>
      <c r="F705">
        <f t="shared" si="45"/>
        <v>0</v>
      </c>
      <c r="G705">
        <f t="shared" si="46"/>
        <v>118</v>
      </c>
    </row>
    <row r="706" spans="1:7" x14ac:dyDescent="0.15">
      <c r="A706" t="str">
        <f t="shared" si="43"/>
        <v>2425</v>
      </c>
      <c r="B706">
        <v>735</v>
      </c>
      <c r="C706" s="747" t="s">
        <v>2618</v>
      </c>
      <c r="D706" t="s">
        <v>2617</v>
      </c>
      <c r="E706">
        <f t="shared" si="44"/>
        <v>130</v>
      </c>
      <c r="F706">
        <f t="shared" si="45"/>
        <v>0</v>
      </c>
      <c r="G706">
        <f t="shared" si="46"/>
        <v>99</v>
      </c>
    </row>
    <row r="707" spans="1:7" x14ac:dyDescent="0.15">
      <c r="A707" t="str">
        <f t="shared" ref="A707:A770" si="47">LEFT(D707,LEN(D707)-1)</f>
        <v>2562</v>
      </c>
      <c r="B707">
        <v>737</v>
      </c>
      <c r="C707" s="748" t="s">
        <v>2620</v>
      </c>
      <c r="D707" t="s">
        <v>2619</v>
      </c>
      <c r="E707">
        <f t="shared" si="44"/>
        <v>207</v>
      </c>
      <c r="F707">
        <f t="shared" si="45"/>
        <v>165</v>
      </c>
      <c r="G707">
        <f t="shared" si="46"/>
        <v>228</v>
      </c>
    </row>
    <row r="708" spans="1:7" x14ac:dyDescent="0.15">
      <c r="A708" t="str">
        <f t="shared" si="47"/>
        <v>2563</v>
      </c>
      <c r="B708">
        <v>738</v>
      </c>
      <c r="C708" s="749" t="s">
        <v>2622</v>
      </c>
      <c r="D708" t="s">
        <v>2621</v>
      </c>
      <c r="E708">
        <f t="shared" si="44"/>
        <v>199</v>
      </c>
      <c r="F708">
        <f t="shared" si="45"/>
        <v>157</v>
      </c>
      <c r="G708">
        <f t="shared" si="46"/>
        <v>216</v>
      </c>
    </row>
    <row r="709" spans="1:7" x14ac:dyDescent="0.15">
      <c r="A709" t="str">
        <f t="shared" si="47"/>
        <v>2567</v>
      </c>
      <c r="B709">
        <v>739</v>
      </c>
      <c r="C709" s="750" t="s">
        <v>2624</v>
      </c>
      <c r="D709" t="s">
        <v>2623</v>
      </c>
      <c r="E709">
        <f t="shared" si="44"/>
        <v>187</v>
      </c>
      <c r="F709">
        <f t="shared" si="45"/>
        <v>153</v>
      </c>
      <c r="G709">
        <f t="shared" si="46"/>
        <v>218</v>
      </c>
    </row>
    <row r="710" spans="1:7" x14ac:dyDescent="0.15">
      <c r="A710" t="str">
        <f t="shared" si="47"/>
        <v>2572</v>
      </c>
      <c r="B710">
        <v>740</v>
      </c>
      <c r="C710" s="751" t="s">
        <v>2626</v>
      </c>
      <c r="D710" t="s">
        <v>2625</v>
      </c>
      <c r="E710">
        <f t="shared" ref="E710:E773" si="48">HEX2DEC(MID(C710,2,2))</f>
        <v>192</v>
      </c>
      <c r="F710">
        <f t="shared" ref="F710:F773" si="49">HEX2DEC(MID(C710,4,2))</f>
        <v>132</v>
      </c>
      <c r="G710">
        <f t="shared" ref="G710:G773" si="50">HEX2DEC(MID(C710,6,2))</f>
        <v>220</v>
      </c>
    </row>
    <row r="711" spans="1:7" x14ac:dyDescent="0.15">
      <c r="A711" t="str">
        <f t="shared" si="47"/>
        <v>2573</v>
      </c>
      <c r="B711">
        <v>741</v>
      </c>
      <c r="C711" s="752" t="s">
        <v>2628</v>
      </c>
      <c r="D711" t="s">
        <v>2627</v>
      </c>
      <c r="E711">
        <f t="shared" si="48"/>
        <v>178</v>
      </c>
      <c r="F711">
        <f t="shared" si="49"/>
        <v>121</v>
      </c>
      <c r="G711">
        <f t="shared" si="50"/>
        <v>200</v>
      </c>
    </row>
    <row r="712" spans="1:7" x14ac:dyDescent="0.15">
      <c r="A712" t="str">
        <f t="shared" si="47"/>
        <v>2577</v>
      </c>
      <c r="B712">
        <v>742</v>
      </c>
      <c r="C712" s="753" t="s">
        <v>2630</v>
      </c>
      <c r="D712" t="s">
        <v>2629</v>
      </c>
      <c r="E712">
        <f t="shared" si="48"/>
        <v>162</v>
      </c>
      <c r="F712">
        <f t="shared" si="49"/>
        <v>118</v>
      </c>
      <c r="G712">
        <f t="shared" si="50"/>
        <v>204</v>
      </c>
    </row>
    <row r="713" spans="1:7" x14ac:dyDescent="0.15">
      <c r="A713" t="str">
        <f t="shared" si="47"/>
        <v>2582</v>
      </c>
      <c r="B713">
        <v>743</v>
      </c>
      <c r="C713" s="754" t="s">
        <v>2632</v>
      </c>
      <c r="D713" t="s">
        <v>2631</v>
      </c>
      <c r="E713">
        <f t="shared" si="48"/>
        <v>162</v>
      </c>
      <c r="F713">
        <f t="shared" si="49"/>
        <v>76</v>
      </c>
      <c r="G713">
        <f t="shared" si="50"/>
        <v>200</v>
      </c>
    </row>
    <row r="714" spans="1:7" x14ac:dyDescent="0.15">
      <c r="A714" t="str">
        <f t="shared" si="47"/>
        <v>2583</v>
      </c>
      <c r="B714">
        <v>744</v>
      </c>
      <c r="C714" s="755" t="s">
        <v>2634</v>
      </c>
      <c r="D714" t="s">
        <v>2633</v>
      </c>
      <c r="E714">
        <f t="shared" si="48"/>
        <v>158</v>
      </c>
      <c r="F714">
        <f t="shared" si="49"/>
        <v>79</v>
      </c>
      <c r="G714">
        <f t="shared" si="50"/>
        <v>165</v>
      </c>
    </row>
    <row r="715" spans="1:7" x14ac:dyDescent="0.15">
      <c r="A715" t="str">
        <f t="shared" si="47"/>
        <v>2587</v>
      </c>
      <c r="B715">
        <v>745</v>
      </c>
      <c r="C715" s="756" t="s">
        <v>2636</v>
      </c>
      <c r="D715" t="s">
        <v>2635</v>
      </c>
      <c r="E715">
        <f t="shared" si="48"/>
        <v>131</v>
      </c>
      <c r="F715">
        <f t="shared" si="49"/>
        <v>72</v>
      </c>
      <c r="G715">
        <f t="shared" si="50"/>
        <v>181</v>
      </c>
    </row>
    <row r="716" spans="1:7" x14ac:dyDescent="0.15">
      <c r="A716" t="str">
        <f t="shared" si="47"/>
        <v>2592</v>
      </c>
      <c r="B716">
        <v>746</v>
      </c>
      <c r="C716" s="757" t="s">
        <v>2638</v>
      </c>
      <c r="D716" t="s">
        <v>2637</v>
      </c>
      <c r="E716">
        <f t="shared" si="48"/>
        <v>144</v>
      </c>
      <c r="F716">
        <f t="shared" si="49"/>
        <v>22</v>
      </c>
      <c r="G716">
        <f t="shared" si="50"/>
        <v>178</v>
      </c>
    </row>
    <row r="717" spans="1:7" x14ac:dyDescent="0.15">
      <c r="A717" t="str">
        <f t="shared" si="47"/>
        <v>2593</v>
      </c>
      <c r="B717">
        <v>747</v>
      </c>
      <c r="C717" s="758" t="s">
        <v>2640</v>
      </c>
      <c r="D717" t="s">
        <v>2639</v>
      </c>
      <c r="E717">
        <f t="shared" si="48"/>
        <v>126</v>
      </c>
      <c r="F717">
        <f t="shared" si="49"/>
        <v>43</v>
      </c>
      <c r="G717">
        <f t="shared" si="50"/>
        <v>151</v>
      </c>
    </row>
    <row r="718" spans="1:7" x14ac:dyDescent="0.15">
      <c r="A718" t="str">
        <f t="shared" si="47"/>
        <v>2597</v>
      </c>
      <c r="B718">
        <v>748</v>
      </c>
      <c r="C718" s="759" t="s">
        <v>2642</v>
      </c>
      <c r="D718" t="s">
        <v>2641</v>
      </c>
      <c r="E718">
        <f t="shared" si="48"/>
        <v>89</v>
      </c>
      <c r="F718">
        <f t="shared" si="49"/>
        <v>5</v>
      </c>
      <c r="G718">
        <f t="shared" si="50"/>
        <v>141</v>
      </c>
    </row>
    <row r="719" spans="1:7" x14ac:dyDescent="0.15">
      <c r="A719" t="str">
        <f t="shared" si="47"/>
        <v>2602</v>
      </c>
      <c r="B719">
        <v>749</v>
      </c>
      <c r="C719" s="760" t="s">
        <v>2644</v>
      </c>
      <c r="D719" t="s">
        <v>2643</v>
      </c>
      <c r="E719">
        <f t="shared" si="48"/>
        <v>125</v>
      </c>
      <c r="F719">
        <f t="shared" si="49"/>
        <v>9</v>
      </c>
      <c r="G719">
        <f t="shared" si="50"/>
        <v>150</v>
      </c>
    </row>
    <row r="720" spans="1:7" x14ac:dyDescent="0.15">
      <c r="A720" t="str">
        <f t="shared" si="47"/>
        <v>2603</v>
      </c>
      <c r="B720">
        <v>750</v>
      </c>
      <c r="C720" s="761" t="s">
        <v>2646</v>
      </c>
      <c r="D720" t="s">
        <v>2645</v>
      </c>
      <c r="E720">
        <f t="shared" si="48"/>
        <v>104</v>
      </c>
      <c r="F720">
        <f t="shared" si="49"/>
        <v>23</v>
      </c>
      <c r="G720">
        <f t="shared" si="50"/>
        <v>127</v>
      </c>
    </row>
    <row r="721" spans="1:7" x14ac:dyDescent="0.15">
      <c r="A721" t="str">
        <f t="shared" si="47"/>
        <v>2607</v>
      </c>
      <c r="B721">
        <v>751</v>
      </c>
      <c r="C721" s="762" t="s">
        <v>2648</v>
      </c>
      <c r="D721" t="s">
        <v>2647</v>
      </c>
      <c r="E721">
        <f t="shared" si="48"/>
        <v>79</v>
      </c>
      <c r="F721">
        <f t="shared" si="49"/>
        <v>2</v>
      </c>
      <c r="G721">
        <f t="shared" si="50"/>
        <v>124</v>
      </c>
    </row>
    <row r="722" spans="1:7" x14ac:dyDescent="0.15">
      <c r="A722" t="str">
        <f t="shared" si="47"/>
        <v>2612</v>
      </c>
      <c r="B722">
        <v>752</v>
      </c>
      <c r="C722" s="763" t="s">
        <v>2650</v>
      </c>
      <c r="D722" t="s">
        <v>2649</v>
      </c>
      <c r="E722">
        <f t="shared" si="48"/>
        <v>106</v>
      </c>
      <c r="F722">
        <f t="shared" si="49"/>
        <v>26</v>
      </c>
      <c r="G722">
        <f t="shared" si="50"/>
        <v>122</v>
      </c>
    </row>
    <row r="723" spans="1:7" x14ac:dyDescent="0.15">
      <c r="A723" t="str">
        <f t="shared" si="47"/>
        <v>2613</v>
      </c>
      <c r="B723">
        <v>753</v>
      </c>
      <c r="C723" s="764" t="s">
        <v>2652</v>
      </c>
      <c r="D723" t="s">
        <v>2651</v>
      </c>
      <c r="E723">
        <f t="shared" si="48"/>
        <v>97</v>
      </c>
      <c r="F723">
        <f t="shared" si="49"/>
        <v>23</v>
      </c>
      <c r="G723">
        <f t="shared" si="50"/>
        <v>116</v>
      </c>
    </row>
    <row r="724" spans="1:7" x14ac:dyDescent="0.15">
      <c r="A724" t="str">
        <f t="shared" si="47"/>
        <v>2617</v>
      </c>
      <c r="B724">
        <v>754</v>
      </c>
      <c r="C724" s="765" t="s">
        <v>2654</v>
      </c>
      <c r="D724" t="s">
        <v>2653</v>
      </c>
      <c r="E724">
        <f t="shared" si="48"/>
        <v>75</v>
      </c>
      <c r="F724">
        <f t="shared" si="49"/>
        <v>11</v>
      </c>
      <c r="G724">
        <f t="shared" si="50"/>
        <v>113</v>
      </c>
    </row>
    <row r="725" spans="1:7" x14ac:dyDescent="0.15">
      <c r="A725" t="str">
        <f t="shared" si="47"/>
        <v>2622</v>
      </c>
      <c r="B725">
        <v>755</v>
      </c>
      <c r="C725" s="766" t="s">
        <v>2656</v>
      </c>
      <c r="D725" t="s">
        <v>2655</v>
      </c>
      <c r="E725">
        <f t="shared" si="48"/>
        <v>87</v>
      </c>
      <c r="F725">
        <f t="shared" si="49"/>
        <v>36</v>
      </c>
      <c r="G725">
        <f t="shared" si="50"/>
        <v>88</v>
      </c>
    </row>
    <row r="726" spans="1:7" x14ac:dyDescent="0.15">
      <c r="A726" t="str">
        <f t="shared" si="47"/>
        <v>2623</v>
      </c>
      <c r="B726">
        <v>756</v>
      </c>
      <c r="C726" s="767" t="s">
        <v>2658</v>
      </c>
      <c r="D726" t="s">
        <v>2657</v>
      </c>
      <c r="E726">
        <f t="shared" si="48"/>
        <v>88</v>
      </c>
      <c r="F726">
        <f t="shared" si="49"/>
        <v>25</v>
      </c>
      <c r="G726">
        <f t="shared" si="50"/>
        <v>99</v>
      </c>
    </row>
    <row r="727" spans="1:7" x14ac:dyDescent="0.15">
      <c r="A727" t="str">
        <f t="shared" si="47"/>
        <v>2627</v>
      </c>
      <c r="B727">
        <v>757</v>
      </c>
      <c r="C727" s="768" t="s">
        <v>2660</v>
      </c>
      <c r="D727" t="s">
        <v>2659</v>
      </c>
      <c r="E727">
        <f t="shared" si="48"/>
        <v>67</v>
      </c>
      <c r="F727">
        <f t="shared" si="49"/>
        <v>18</v>
      </c>
      <c r="G727">
        <f t="shared" si="50"/>
        <v>95</v>
      </c>
    </row>
    <row r="728" spans="1:7" x14ac:dyDescent="0.15">
      <c r="A728" t="str">
        <f t="shared" si="47"/>
        <v>2635</v>
      </c>
      <c r="B728">
        <v>758</v>
      </c>
      <c r="C728" s="769" t="s">
        <v>2662</v>
      </c>
      <c r="D728" t="s">
        <v>2661</v>
      </c>
      <c r="E728">
        <f t="shared" si="48"/>
        <v>191</v>
      </c>
      <c r="F728">
        <f t="shared" si="49"/>
        <v>175</v>
      </c>
      <c r="G728">
        <f t="shared" si="50"/>
        <v>228</v>
      </c>
    </row>
    <row r="729" spans="1:7" x14ac:dyDescent="0.15">
      <c r="A729" t="str">
        <f t="shared" si="47"/>
        <v>2645</v>
      </c>
      <c r="B729">
        <v>759</v>
      </c>
      <c r="C729" s="770" t="s">
        <v>2664</v>
      </c>
      <c r="D729" t="s">
        <v>2663</v>
      </c>
      <c r="E729">
        <f t="shared" si="48"/>
        <v>170</v>
      </c>
      <c r="F729">
        <f t="shared" si="49"/>
        <v>148</v>
      </c>
      <c r="G729">
        <f t="shared" si="50"/>
        <v>222</v>
      </c>
    </row>
    <row r="730" spans="1:7" x14ac:dyDescent="0.15">
      <c r="A730" t="str">
        <f t="shared" si="47"/>
        <v>2655</v>
      </c>
      <c r="B730">
        <v>760</v>
      </c>
      <c r="C730" s="771" t="s">
        <v>2666</v>
      </c>
      <c r="D730" t="s">
        <v>2665</v>
      </c>
      <c r="E730">
        <f t="shared" si="48"/>
        <v>145</v>
      </c>
      <c r="F730">
        <f t="shared" si="49"/>
        <v>115</v>
      </c>
      <c r="G730">
        <f t="shared" si="50"/>
        <v>211</v>
      </c>
    </row>
    <row r="731" spans="1:7" x14ac:dyDescent="0.15">
      <c r="A731" t="str">
        <f t="shared" si="47"/>
        <v>2665</v>
      </c>
      <c r="B731">
        <v>761</v>
      </c>
      <c r="C731" s="772" t="s">
        <v>2668</v>
      </c>
      <c r="D731" t="s">
        <v>2667</v>
      </c>
      <c r="E731">
        <f t="shared" si="48"/>
        <v>122</v>
      </c>
      <c r="F731">
        <f t="shared" si="49"/>
        <v>82</v>
      </c>
      <c r="G731">
        <f t="shared" si="50"/>
        <v>199</v>
      </c>
    </row>
    <row r="732" spans="1:7" x14ac:dyDescent="0.15">
      <c r="A732" t="str">
        <f t="shared" si="47"/>
        <v xml:space="preserve">Violet </v>
      </c>
      <c r="B732">
        <v>762</v>
      </c>
      <c r="C732" s="773" t="s">
        <v>2670</v>
      </c>
      <c r="D732" t="s">
        <v>2669</v>
      </c>
      <c r="E732">
        <f t="shared" si="48"/>
        <v>102</v>
      </c>
      <c r="F732">
        <f t="shared" si="49"/>
        <v>7</v>
      </c>
      <c r="G732">
        <f t="shared" si="50"/>
        <v>165</v>
      </c>
    </row>
    <row r="733" spans="1:7" x14ac:dyDescent="0.15">
      <c r="A733" t="str">
        <f t="shared" si="47"/>
        <v>2685</v>
      </c>
      <c r="B733">
        <v>763</v>
      </c>
      <c r="C733" s="774" t="s">
        <v>2672</v>
      </c>
      <c r="D733" t="s">
        <v>2671</v>
      </c>
      <c r="E733">
        <f t="shared" si="48"/>
        <v>59</v>
      </c>
      <c r="F733">
        <f t="shared" si="49"/>
        <v>0</v>
      </c>
      <c r="G733">
        <f t="shared" si="50"/>
        <v>132</v>
      </c>
    </row>
    <row r="734" spans="1:7" x14ac:dyDescent="0.15">
      <c r="A734" t="str">
        <f t="shared" si="47"/>
        <v>2695</v>
      </c>
      <c r="B734">
        <v>764</v>
      </c>
      <c r="C734" s="775" t="s">
        <v>2674</v>
      </c>
      <c r="D734" t="s">
        <v>2673</v>
      </c>
      <c r="E734">
        <f t="shared" si="48"/>
        <v>56</v>
      </c>
      <c r="F734">
        <f t="shared" si="49"/>
        <v>29</v>
      </c>
      <c r="G734">
        <f t="shared" si="50"/>
        <v>89</v>
      </c>
    </row>
    <row r="735" spans="1:7" x14ac:dyDescent="0.15">
      <c r="A735" t="str">
        <f t="shared" si="47"/>
        <v>2705</v>
      </c>
      <c r="B735">
        <v>765</v>
      </c>
      <c r="C735" s="776" t="s">
        <v>2676</v>
      </c>
      <c r="D735" t="s">
        <v>2675</v>
      </c>
      <c r="E735">
        <f t="shared" si="48"/>
        <v>162</v>
      </c>
      <c r="F735">
        <f t="shared" si="49"/>
        <v>159</v>
      </c>
      <c r="G735">
        <f t="shared" si="50"/>
        <v>224</v>
      </c>
    </row>
    <row r="736" spans="1:7" x14ac:dyDescent="0.15">
      <c r="A736" t="str">
        <f t="shared" si="47"/>
        <v>2706</v>
      </c>
      <c r="B736">
        <v>766</v>
      </c>
      <c r="C736" s="777" t="s">
        <v>2678</v>
      </c>
      <c r="D736" t="s">
        <v>2677</v>
      </c>
      <c r="E736">
        <f t="shared" si="48"/>
        <v>196</v>
      </c>
      <c r="F736">
        <f t="shared" si="49"/>
        <v>203</v>
      </c>
      <c r="G736">
        <f t="shared" si="50"/>
        <v>234</v>
      </c>
    </row>
    <row r="737" spans="1:7" x14ac:dyDescent="0.15">
      <c r="A737" t="str">
        <f t="shared" si="47"/>
        <v>2707</v>
      </c>
      <c r="B737">
        <v>767</v>
      </c>
      <c r="C737" s="778" t="s">
        <v>2680</v>
      </c>
      <c r="D737" t="s">
        <v>2679</v>
      </c>
      <c r="E737">
        <f t="shared" si="48"/>
        <v>189</v>
      </c>
      <c r="F737">
        <f t="shared" si="49"/>
        <v>208</v>
      </c>
      <c r="G737">
        <f t="shared" si="50"/>
        <v>238</v>
      </c>
    </row>
    <row r="738" spans="1:7" x14ac:dyDescent="0.15">
      <c r="A738" t="str">
        <f t="shared" si="47"/>
        <v>2708</v>
      </c>
      <c r="B738">
        <v>768</v>
      </c>
      <c r="C738" s="779" t="s">
        <v>2682</v>
      </c>
      <c r="D738" t="s">
        <v>2681</v>
      </c>
      <c r="E738">
        <f t="shared" si="48"/>
        <v>177</v>
      </c>
      <c r="F738">
        <f t="shared" si="49"/>
        <v>197</v>
      </c>
      <c r="G738">
        <f t="shared" si="50"/>
        <v>234</v>
      </c>
    </row>
    <row r="739" spans="1:7" x14ac:dyDescent="0.15">
      <c r="A739" t="str">
        <f t="shared" si="47"/>
        <v>2715</v>
      </c>
      <c r="B739">
        <v>769</v>
      </c>
      <c r="C739" s="780" t="s">
        <v>2684</v>
      </c>
      <c r="D739" t="s">
        <v>2683</v>
      </c>
      <c r="E739">
        <f t="shared" si="48"/>
        <v>133</v>
      </c>
      <c r="F739">
        <f t="shared" si="49"/>
        <v>128</v>
      </c>
      <c r="G739">
        <f t="shared" si="50"/>
        <v>216</v>
      </c>
    </row>
    <row r="740" spans="1:7" x14ac:dyDescent="0.15">
      <c r="A740" t="str">
        <f t="shared" si="47"/>
        <v>2716</v>
      </c>
      <c r="B740">
        <v>770</v>
      </c>
      <c r="C740" s="781" t="s">
        <v>2686</v>
      </c>
      <c r="D740" t="s">
        <v>2685</v>
      </c>
      <c r="E740">
        <f t="shared" si="48"/>
        <v>148</v>
      </c>
      <c r="F740">
        <f t="shared" si="49"/>
        <v>161</v>
      </c>
      <c r="G740">
        <f t="shared" si="50"/>
        <v>226</v>
      </c>
    </row>
    <row r="741" spans="1:7" x14ac:dyDescent="0.15">
      <c r="A741" t="str">
        <f t="shared" si="47"/>
        <v>2717</v>
      </c>
      <c r="B741">
        <v>771</v>
      </c>
      <c r="C741" s="782" t="s">
        <v>2688</v>
      </c>
      <c r="D741" t="s">
        <v>2687</v>
      </c>
      <c r="E741">
        <f t="shared" si="48"/>
        <v>161</v>
      </c>
      <c r="F741">
        <f t="shared" si="49"/>
        <v>189</v>
      </c>
      <c r="G741">
        <f t="shared" si="50"/>
        <v>234</v>
      </c>
    </row>
    <row r="742" spans="1:7" x14ac:dyDescent="0.15">
      <c r="A742" t="str">
        <f t="shared" si="47"/>
        <v>2718</v>
      </c>
      <c r="B742">
        <v>772</v>
      </c>
      <c r="C742" s="783" t="s">
        <v>2690</v>
      </c>
      <c r="D742" t="s">
        <v>2689</v>
      </c>
      <c r="E742">
        <f t="shared" si="48"/>
        <v>84</v>
      </c>
      <c r="F742">
        <f t="shared" si="49"/>
        <v>126</v>
      </c>
      <c r="G742">
        <f t="shared" si="50"/>
        <v>217</v>
      </c>
    </row>
    <row r="743" spans="1:7" x14ac:dyDescent="0.15">
      <c r="A743" t="str">
        <f t="shared" si="47"/>
        <v>2725</v>
      </c>
      <c r="B743">
        <v>773</v>
      </c>
      <c r="C743" s="784" t="s">
        <v>2692</v>
      </c>
      <c r="D743" t="s">
        <v>2691</v>
      </c>
      <c r="E743">
        <f t="shared" si="48"/>
        <v>94</v>
      </c>
      <c r="F743">
        <f t="shared" si="49"/>
        <v>83</v>
      </c>
      <c r="G743">
        <f t="shared" si="50"/>
        <v>199</v>
      </c>
    </row>
    <row r="744" spans="1:7" x14ac:dyDescent="0.15">
      <c r="A744" t="str">
        <f t="shared" si="47"/>
        <v>2726</v>
      </c>
      <c r="B744">
        <v>774</v>
      </c>
      <c r="C744" s="785" t="s">
        <v>2694</v>
      </c>
      <c r="D744" t="s">
        <v>2693</v>
      </c>
      <c r="E744">
        <f t="shared" si="48"/>
        <v>69</v>
      </c>
      <c r="F744">
        <f t="shared" si="49"/>
        <v>85</v>
      </c>
      <c r="G744">
        <f t="shared" si="50"/>
        <v>199</v>
      </c>
    </row>
    <row r="745" spans="1:7" x14ac:dyDescent="0.15">
      <c r="A745" t="str">
        <f t="shared" si="47"/>
        <v>2727</v>
      </c>
      <c r="B745">
        <v>775</v>
      </c>
      <c r="C745" s="786" t="s">
        <v>2696</v>
      </c>
      <c r="D745" t="s">
        <v>2695</v>
      </c>
      <c r="E745">
        <f t="shared" si="48"/>
        <v>56</v>
      </c>
      <c r="F745">
        <f t="shared" si="49"/>
        <v>120</v>
      </c>
      <c r="G745">
        <f t="shared" si="50"/>
        <v>219</v>
      </c>
    </row>
    <row r="746" spans="1:7" x14ac:dyDescent="0.15">
      <c r="A746" t="str">
        <f t="shared" si="47"/>
        <v>2728</v>
      </c>
      <c r="B746">
        <v>776</v>
      </c>
      <c r="C746" s="787" t="s">
        <v>2698</v>
      </c>
      <c r="D746" t="s">
        <v>2697</v>
      </c>
      <c r="E746">
        <f t="shared" si="48"/>
        <v>0</v>
      </c>
      <c r="F746">
        <f t="shared" si="49"/>
        <v>71</v>
      </c>
      <c r="G746">
        <f t="shared" si="50"/>
        <v>190</v>
      </c>
    </row>
    <row r="747" spans="1:7" x14ac:dyDescent="0.15">
      <c r="A747" t="str">
        <f t="shared" si="47"/>
        <v xml:space="preserve">Blue 072 </v>
      </c>
      <c r="B747">
        <v>777</v>
      </c>
      <c r="C747" s="788" t="s">
        <v>2700</v>
      </c>
      <c r="D747" t="s">
        <v>2699</v>
      </c>
      <c r="E747">
        <f t="shared" si="48"/>
        <v>56</v>
      </c>
      <c r="F747">
        <f t="shared" si="49"/>
        <v>0</v>
      </c>
      <c r="G747">
        <f t="shared" si="50"/>
        <v>150</v>
      </c>
    </row>
    <row r="748" spans="1:7" x14ac:dyDescent="0.15">
      <c r="A748" t="str">
        <f t="shared" si="47"/>
        <v>2735</v>
      </c>
      <c r="B748">
        <v>778</v>
      </c>
      <c r="C748" s="789" t="s">
        <v>2702</v>
      </c>
      <c r="D748" t="s">
        <v>2701</v>
      </c>
      <c r="E748">
        <f t="shared" si="48"/>
        <v>40</v>
      </c>
      <c r="F748">
        <f t="shared" si="49"/>
        <v>0</v>
      </c>
      <c r="G748">
        <f t="shared" si="50"/>
        <v>146</v>
      </c>
    </row>
    <row r="749" spans="1:7" x14ac:dyDescent="0.15">
      <c r="A749" t="str">
        <f t="shared" si="47"/>
        <v>2736</v>
      </c>
      <c r="B749">
        <v>780</v>
      </c>
      <c r="C749" s="790" t="s">
        <v>2704</v>
      </c>
      <c r="D749" t="s">
        <v>2703</v>
      </c>
      <c r="E749">
        <f t="shared" si="48"/>
        <v>30</v>
      </c>
      <c r="F749">
        <f t="shared" si="49"/>
        <v>34</v>
      </c>
      <c r="G749">
        <f t="shared" si="50"/>
        <v>174</v>
      </c>
    </row>
    <row r="750" spans="1:7" x14ac:dyDescent="0.15">
      <c r="A750" t="str">
        <f t="shared" si="47"/>
        <v>2738</v>
      </c>
      <c r="B750">
        <v>781</v>
      </c>
      <c r="C750" s="791" t="s">
        <v>2706</v>
      </c>
      <c r="D750" t="s">
        <v>2705</v>
      </c>
      <c r="E750">
        <f t="shared" si="48"/>
        <v>0</v>
      </c>
      <c r="F750">
        <f t="shared" si="49"/>
        <v>18</v>
      </c>
      <c r="G750">
        <f t="shared" si="50"/>
        <v>157</v>
      </c>
    </row>
    <row r="751" spans="1:7" x14ac:dyDescent="0.15">
      <c r="A751" t="str">
        <f t="shared" si="47"/>
        <v>2745</v>
      </c>
      <c r="B751">
        <v>782</v>
      </c>
      <c r="C751" s="792" t="s">
        <v>2708</v>
      </c>
      <c r="D751" t="s">
        <v>2707</v>
      </c>
      <c r="E751">
        <f t="shared" si="48"/>
        <v>34</v>
      </c>
      <c r="F751">
        <f t="shared" si="49"/>
        <v>0</v>
      </c>
      <c r="G751">
        <f t="shared" si="50"/>
        <v>122</v>
      </c>
    </row>
    <row r="752" spans="1:7" x14ac:dyDescent="0.15">
      <c r="A752" t="str">
        <f t="shared" si="47"/>
        <v>2746</v>
      </c>
      <c r="B752">
        <v>783</v>
      </c>
      <c r="C752" s="793" t="s">
        <v>2710</v>
      </c>
      <c r="D752" t="s">
        <v>2709</v>
      </c>
      <c r="E752">
        <f t="shared" si="48"/>
        <v>26</v>
      </c>
      <c r="F752">
        <f t="shared" si="49"/>
        <v>28</v>
      </c>
      <c r="G752">
        <f t="shared" si="50"/>
        <v>150</v>
      </c>
    </row>
    <row r="753" spans="1:7" x14ac:dyDescent="0.15">
      <c r="A753" t="str">
        <f t="shared" si="47"/>
        <v>2747</v>
      </c>
      <c r="B753">
        <v>784</v>
      </c>
      <c r="C753" s="794" t="s">
        <v>2712</v>
      </c>
      <c r="D753" t="s">
        <v>2711</v>
      </c>
      <c r="E753">
        <f t="shared" si="48"/>
        <v>0</v>
      </c>
      <c r="F753">
        <f t="shared" si="49"/>
        <v>35</v>
      </c>
      <c r="G753">
        <f t="shared" si="50"/>
        <v>126</v>
      </c>
    </row>
    <row r="754" spans="1:7" x14ac:dyDescent="0.15">
      <c r="A754" t="str">
        <f t="shared" si="47"/>
        <v>2748</v>
      </c>
      <c r="B754">
        <v>785</v>
      </c>
      <c r="C754" s="795" t="s">
        <v>2714</v>
      </c>
      <c r="D754" t="s">
        <v>2713</v>
      </c>
      <c r="E754">
        <f t="shared" si="48"/>
        <v>0</v>
      </c>
      <c r="F754">
        <f t="shared" si="49"/>
        <v>26</v>
      </c>
      <c r="G754">
        <f t="shared" si="50"/>
        <v>123</v>
      </c>
    </row>
    <row r="755" spans="1:7" x14ac:dyDescent="0.15">
      <c r="A755" t="str">
        <f t="shared" si="47"/>
        <v>2755</v>
      </c>
      <c r="B755">
        <v>786</v>
      </c>
      <c r="C755" s="796" t="s">
        <v>2716</v>
      </c>
      <c r="D755" t="s">
        <v>2715</v>
      </c>
      <c r="E755">
        <f t="shared" si="48"/>
        <v>27</v>
      </c>
      <c r="F755">
        <f t="shared" si="49"/>
        <v>0</v>
      </c>
      <c r="G755">
        <f t="shared" si="50"/>
        <v>105</v>
      </c>
    </row>
    <row r="756" spans="1:7" x14ac:dyDescent="0.15">
      <c r="A756" t="str">
        <f t="shared" si="47"/>
        <v>2756</v>
      </c>
      <c r="B756">
        <v>787</v>
      </c>
      <c r="C756" s="797" t="s">
        <v>2718</v>
      </c>
      <c r="D756" t="s">
        <v>2717</v>
      </c>
      <c r="E756">
        <f t="shared" si="48"/>
        <v>21</v>
      </c>
      <c r="F756">
        <f t="shared" si="49"/>
        <v>29</v>
      </c>
      <c r="G756">
        <f t="shared" si="50"/>
        <v>113</v>
      </c>
    </row>
    <row r="757" spans="1:7" x14ac:dyDescent="0.15">
      <c r="A757" t="str">
        <f t="shared" si="47"/>
        <v>2757</v>
      </c>
      <c r="B757">
        <v>788</v>
      </c>
      <c r="C757" s="798" t="s">
        <v>2720</v>
      </c>
      <c r="D757" t="s">
        <v>2719</v>
      </c>
      <c r="E757">
        <f t="shared" si="48"/>
        <v>0</v>
      </c>
      <c r="F757">
        <f t="shared" si="49"/>
        <v>32</v>
      </c>
      <c r="G757">
        <f t="shared" si="50"/>
        <v>101</v>
      </c>
    </row>
    <row r="758" spans="1:7" x14ac:dyDescent="0.15">
      <c r="A758" t="str">
        <f t="shared" si="47"/>
        <v>2758</v>
      </c>
      <c r="B758">
        <v>789</v>
      </c>
      <c r="C758" s="799" t="s">
        <v>2722</v>
      </c>
      <c r="D758" t="s">
        <v>2721</v>
      </c>
      <c r="E758">
        <f t="shared" si="48"/>
        <v>0</v>
      </c>
      <c r="F758">
        <f t="shared" si="49"/>
        <v>29</v>
      </c>
      <c r="G758">
        <f t="shared" si="50"/>
        <v>104</v>
      </c>
    </row>
    <row r="759" spans="1:7" x14ac:dyDescent="0.15">
      <c r="A759" t="str">
        <f t="shared" si="47"/>
        <v>2765</v>
      </c>
      <c r="B759">
        <v>790</v>
      </c>
      <c r="C759" s="800" t="s">
        <v>2724</v>
      </c>
      <c r="D759" t="s">
        <v>2723</v>
      </c>
      <c r="E759">
        <f t="shared" si="48"/>
        <v>27</v>
      </c>
      <c r="F759">
        <f t="shared" si="49"/>
        <v>12</v>
      </c>
      <c r="G759">
        <f t="shared" si="50"/>
        <v>85</v>
      </c>
    </row>
    <row r="760" spans="1:7" x14ac:dyDescent="0.15">
      <c r="A760" t="str">
        <f t="shared" si="47"/>
        <v>2766</v>
      </c>
      <c r="B760">
        <v>791</v>
      </c>
      <c r="C760" s="801" t="s">
        <v>2726</v>
      </c>
      <c r="D760" t="s">
        <v>2725</v>
      </c>
      <c r="E760">
        <f t="shared" si="48"/>
        <v>21</v>
      </c>
      <c r="F760">
        <f t="shared" si="49"/>
        <v>28</v>
      </c>
      <c r="G760">
        <f t="shared" si="50"/>
        <v>85</v>
      </c>
    </row>
    <row r="761" spans="1:7" x14ac:dyDescent="0.15">
      <c r="A761" t="str">
        <f t="shared" si="47"/>
        <v>2767</v>
      </c>
      <c r="B761">
        <v>792</v>
      </c>
      <c r="C761" s="802" t="s">
        <v>2728</v>
      </c>
      <c r="D761" t="s">
        <v>2727</v>
      </c>
      <c r="E761">
        <f t="shared" si="48"/>
        <v>11</v>
      </c>
      <c r="F761">
        <f t="shared" si="49"/>
        <v>35</v>
      </c>
      <c r="G761">
        <f t="shared" si="50"/>
        <v>69</v>
      </c>
    </row>
    <row r="762" spans="1:7" x14ac:dyDescent="0.15">
      <c r="A762" t="str">
        <f t="shared" si="47"/>
        <v>2768</v>
      </c>
      <c r="B762">
        <v>793</v>
      </c>
      <c r="C762" s="803" t="s">
        <v>2730</v>
      </c>
      <c r="D762" t="s">
        <v>2729</v>
      </c>
      <c r="E762">
        <f t="shared" si="48"/>
        <v>17</v>
      </c>
      <c r="F762">
        <f t="shared" si="49"/>
        <v>33</v>
      </c>
      <c r="G762">
        <f t="shared" si="50"/>
        <v>81</v>
      </c>
    </row>
    <row r="763" spans="1:7" x14ac:dyDescent="0.15">
      <c r="A763" t="str">
        <f t="shared" si="47"/>
        <v>2905</v>
      </c>
      <c r="B763">
        <v>794</v>
      </c>
      <c r="C763" s="804" t="s">
        <v>2732</v>
      </c>
      <c r="D763" t="s">
        <v>2731</v>
      </c>
      <c r="E763">
        <f t="shared" si="48"/>
        <v>146</v>
      </c>
      <c r="F763">
        <f t="shared" si="49"/>
        <v>201</v>
      </c>
      <c r="G763">
        <f t="shared" si="50"/>
        <v>235</v>
      </c>
    </row>
    <row r="764" spans="1:7" x14ac:dyDescent="0.15">
      <c r="A764" t="str">
        <f t="shared" si="47"/>
        <v>2915</v>
      </c>
      <c r="B764">
        <v>795</v>
      </c>
      <c r="C764" s="805" t="s">
        <v>2734</v>
      </c>
      <c r="D764" t="s">
        <v>2733</v>
      </c>
      <c r="E764">
        <f t="shared" si="48"/>
        <v>98</v>
      </c>
      <c r="F764">
        <f t="shared" si="49"/>
        <v>180</v>
      </c>
      <c r="G764">
        <f t="shared" si="50"/>
        <v>232</v>
      </c>
    </row>
    <row r="765" spans="1:7" x14ac:dyDescent="0.15">
      <c r="A765" t="str">
        <f t="shared" si="47"/>
        <v>2925</v>
      </c>
      <c r="B765">
        <v>796</v>
      </c>
      <c r="C765" s="806" t="s">
        <v>2736</v>
      </c>
      <c r="D765" t="s">
        <v>2735</v>
      </c>
      <c r="E765">
        <f t="shared" si="48"/>
        <v>0</v>
      </c>
      <c r="F765">
        <f t="shared" si="49"/>
        <v>146</v>
      </c>
      <c r="G765">
        <f t="shared" si="50"/>
        <v>221</v>
      </c>
    </row>
    <row r="766" spans="1:7" x14ac:dyDescent="0.15">
      <c r="A766" t="str">
        <f t="shared" si="47"/>
        <v>2935</v>
      </c>
      <c r="B766">
        <v>797</v>
      </c>
      <c r="C766" s="807" t="s">
        <v>2738</v>
      </c>
      <c r="D766" t="s">
        <v>2737</v>
      </c>
      <c r="E766">
        <f t="shared" si="48"/>
        <v>0</v>
      </c>
      <c r="F766">
        <f t="shared" si="49"/>
        <v>91</v>
      </c>
      <c r="G766">
        <f t="shared" si="50"/>
        <v>195</v>
      </c>
    </row>
    <row r="767" spans="1:7" x14ac:dyDescent="0.15">
      <c r="A767" t="str">
        <f t="shared" si="47"/>
        <v>2945</v>
      </c>
      <c r="B767">
        <v>798</v>
      </c>
      <c r="C767" s="808" t="s">
        <v>2740</v>
      </c>
      <c r="D767" t="s">
        <v>2739</v>
      </c>
      <c r="E767">
        <f t="shared" si="48"/>
        <v>0</v>
      </c>
      <c r="F767">
        <f t="shared" si="49"/>
        <v>83</v>
      </c>
      <c r="G767">
        <f t="shared" si="50"/>
        <v>165</v>
      </c>
    </row>
    <row r="768" spans="1:7" x14ac:dyDescent="0.15">
      <c r="A768" t="str">
        <f t="shared" si="47"/>
        <v>2955</v>
      </c>
      <c r="B768">
        <v>799</v>
      </c>
      <c r="C768" s="809" t="s">
        <v>2742</v>
      </c>
      <c r="D768" t="s">
        <v>2741</v>
      </c>
      <c r="E768">
        <f t="shared" si="48"/>
        <v>0</v>
      </c>
      <c r="F768">
        <f t="shared" si="49"/>
        <v>59</v>
      </c>
      <c r="G768">
        <f t="shared" si="50"/>
        <v>111</v>
      </c>
    </row>
    <row r="769" spans="1:7" x14ac:dyDescent="0.15">
      <c r="A769" t="str">
        <f t="shared" si="47"/>
        <v>2965</v>
      </c>
      <c r="B769">
        <v>800</v>
      </c>
      <c r="C769" s="810" t="s">
        <v>2744</v>
      </c>
      <c r="D769" t="s">
        <v>2743</v>
      </c>
      <c r="E769">
        <f t="shared" si="48"/>
        <v>0</v>
      </c>
      <c r="F769">
        <f t="shared" si="49"/>
        <v>49</v>
      </c>
      <c r="G769">
        <f t="shared" si="50"/>
        <v>81</v>
      </c>
    </row>
    <row r="770" spans="1:7" x14ac:dyDescent="0.15">
      <c r="A770" t="str">
        <f t="shared" si="47"/>
        <v>2975</v>
      </c>
      <c r="B770">
        <v>802</v>
      </c>
      <c r="C770" s="811" t="s">
        <v>2746</v>
      </c>
      <c r="D770" t="s">
        <v>2745</v>
      </c>
      <c r="E770">
        <f t="shared" si="48"/>
        <v>165</v>
      </c>
      <c r="F770">
        <f t="shared" si="49"/>
        <v>217</v>
      </c>
      <c r="G770">
        <f t="shared" si="50"/>
        <v>236</v>
      </c>
    </row>
    <row r="771" spans="1:7" x14ac:dyDescent="0.15">
      <c r="A771" t="str">
        <f t="shared" ref="A771:A834" si="51">LEFT(D771,LEN(D771)-1)</f>
        <v>2985</v>
      </c>
      <c r="B771">
        <v>803</v>
      </c>
      <c r="C771" s="812" t="s">
        <v>2748</v>
      </c>
      <c r="D771" t="s">
        <v>2747</v>
      </c>
      <c r="E771">
        <f t="shared" si="48"/>
        <v>64</v>
      </c>
      <c r="F771">
        <f t="shared" si="49"/>
        <v>189</v>
      </c>
      <c r="G771">
        <f t="shared" si="50"/>
        <v>232</v>
      </c>
    </row>
    <row r="772" spans="1:7" x14ac:dyDescent="0.15">
      <c r="A772" t="str">
        <f t="shared" si="51"/>
        <v>2995</v>
      </c>
      <c r="B772">
        <v>804</v>
      </c>
      <c r="C772" s="813" t="s">
        <v>2750</v>
      </c>
      <c r="D772" t="s">
        <v>2749</v>
      </c>
      <c r="E772">
        <f t="shared" si="48"/>
        <v>0</v>
      </c>
      <c r="F772">
        <f t="shared" si="49"/>
        <v>162</v>
      </c>
      <c r="G772">
        <f t="shared" si="50"/>
        <v>225</v>
      </c>
    </row>
    <row r="773" spans="1:7" x14ac:dyDescent="0.15">
      <c r="A773" t="str">
        <f t="shared" si="51"/>
        <v>3005</v>
      </c>
      <c r="B773">
        <v>805</v>
      </c>
      <c r="C773" s="814" t="s">
        <v>2752</v>
      </c>
      <c r="D773" t="s">
        <v>2751</v>
      </c>
      <c r="E773">
        <f t="shared" si="48"/>
        <v>0</v>
      </c>
      <c r="F773">
        <f t="shared" si="49"/>
        <v>118</v>
      </c>
      <c r="G773">
        <f t="shared" si="50"/>
        <v>204</v>
      </c>
    </row>
    <row r="774" spans="1:7" x14ac:dyDescent="0.15">
      <c r="A774" t="str">
        <f t="shared" si="51"/>
        <v>3015</v>
      </c>
      <c r="B774">
        <v>806</v>
      </c>
      <c r="C774" s="815" t="s">
        <v>2754</v>
      </c>
      <c r="D774" t="s">
        <v>2753</v>
      </c>
      <c r="E774">
        <f t="shared" ref="E774:E837" si="52">HEX2DEC(MID(C774,2,2))</f>
        <v>0</v>
      </c>
      <c r="F774">
        <f t="shared" ref="F774:F837" si="53">HEX2DEC(MID(C774,4,2))</f>
        <v>96</v>
      </c>
      <c r="G774">
        <f t="shared" ref="G774:G837" si="54">HEX2DEC(MID(C774,6,2))</f>
        <v>161</v>
      </c>
    </row>
    <row r="775" spans="1:7" x14ac:dyDescent="0.15">
      <c r="A775" t="str">
        <f t="shared" si="51"/>
        <v>3025</v>
      </c>
      <c r="B775">
        <v>807</v>
      </c>
      <c r="C775" s="257" t="s">
        <v>1627</v>
      </c>
      <c r="D775" t="s">
        <v>2755</v>
      </c>
      <c r="E775">
        <f t="shared" si="52"/>
        <v>0</v>
      </c>
      <c r="F775">
        <f t="shared" si="53"/>
        <v>67</v>
      </c>
      <c r="G775">
        <f t="shared" si="54"/>
        <v>110</v>
      </c>
    </row>
    <row r="776" spans="1:7" x14ac:dyDescent="0.15">
      <c r="A776" t="str">
        <f t="shared" si="51"/>
        <v>3035</v>
      </c>
      <c r="B776">
        <v>808</v>
      </c>
      <c r="C776" s="816" t="s">
        <v>2757</v>
      </c>
      <c r="D776" t="s">
        <v>2756</v>
      </c>
      <c r="E776">
        <f t="shared" si="52"/>
        <v>0</v>
      </c>
      <c r="F776">
        <f t="shared" si="53"/>
        <v>58</v>
      </c>
      <c r="G776">
        <f t="shared" si="54"/>
        <v>79</v>
      </c>
    </row>
    <row r="777" spans="1:7" x14ac:dyDescent="0.15">
      <c r="A777" t="str">
        <f t="shared" si="51"/>
        <v>3105</v>
      </c>
      <c r="B777">
        <v>809</v>
      </c>
      <c r="C777" s="817" t="s">
        <v>2759</v>
      </c>
      <c r="D777" t="s">
        <v>2758</v>
      </c>
      <c r="E777">
        <f t="shared" si="52"/>
        <v>111</v>
      </c>
      <c r="F777">
        <f t="shared" si="53"/>
        <v>210</v>
      </c>
      <c r="G777">
        <f t="shared" si="54"/>
        <v>228</v>
      </c>
    </row>
    <row r="778" spans="1:7" x14ac:dyDescent="0.15">
      <c r="A778" t="str">
        <f t="shared" si="51"/>
        <v>3115</v>
      </c>
      <c r="B778">
        <v>810</v>
      </c>
      <c r="C778" s="818" t="s">
        <v>2761</v>
      </c>
      <c r="D778" t="s">
        <v>2760</v>
      </c>
      <c r="E778">
        <f t="shared" si="52"/>
        <v>0</v>
      </c>
      <c r="F778">
        <f t="shared" si="53"/>
        <v>196</v>
      </c>
      <c r="G778">
        <f t="shared" si="54"/>
        <v>220</v>
      </c>
    </row>
    <row r="779" spans="1:7" x14ac:dyDescent="0.15">
      <c r="A779" t="str">
        <f t="shared" si="51"/>
        <v>3125</v>
      </c>
      <c r="B779">
        <v>811</v>
      </c>
      <c r="C779" s="819" t="s">
        <v>2763</v>
      </c>
      <c r="D779" t="s">
        <v>2762</v>
      </c>
      <c r="E779">
        <f t="shared" si="52"/>
        <v>0</v>
      </c>
      <c r="F779">
        <f t="shared" si="53"/>
        <v>174</v>
      </c>
      <c r="G779">
        <f t="shared" si="54"/>
        <v>206</v>
      </c>
    </row>
    <row r="780" spans="1:7" x14ac:dyDescent="0.15">
      <c r="A780" t="str">
        <f t="shared" si="51"/>
        <v>3135</v>
      </c>
      <c r="B780">
        <v>812</v>
      </c>
      <c r="C780" s="820" t="s">
        <v>2765</v>
      </c>
      <c r="D780" t="s">
        <v>2764</v>
      </c>
      <c r="E780">
        <f t="shared" si="52"/>
        <v>0</v>
      </c>
      <c r="F780">
        <f t="shared" si="53"/>
        <v>146</v>
      </c>
      <c r="G780">
        <f t="shared" si="54"/>
        <v>186</v>
      </c>
    </row>
    <row r="781" spans="1:7" x14ac:dyDescent="0.15">
      <c r="A781" t="str">
        <f t="shared" si="51"/>
        <v>3145</v>
      </c>
      <c r="B781">
        <v>813</v>
      </c>
      <c r="C781" s="821" t="s">
        <v>2767</v>
      </c>
      <c r="D781" t="s">
        <v>2766</v>
      </c>
      <c r="E781">
        <f t="shared" si="52"/>
        <v>0</v>
      </c>
      <c r="F781">
        <f t="shared" si="53"/>
        <v>122</v>
      </c>
      <c r="G781">
        <f t="shared" si="54"/>
        <v>151</v>
      </c>
    </row>
    <row r="782" spans="1:7" x14ac:dyDescent="0.15">
      <c r="A782" t="str">
        <f t="shared" si="51"/>
        <v>3155</v>
      </c>
      <c r="B782">
        <v>814</v>
      </c>
      <c r="C782" s="822" t="s">
        <v>2769</v>
      </c>
      <c r="D782" t="s">
        <v>2768</v>
      </c>
      <c r="E782">
        <f t="shared" si="52"/>
        <v>0</v>
      </c>
      <c r="F782">
        <f t="shared" si="53"/>
        <v>102</v>
      </c>
      <c r="G782">
        <f t="shared" si="54"/>
        <v>124</v>
      </c>
    </row>
    <row r="783" spans="1:7" x14ac:dyDescent="0.15">
      <c r="A783" t="str">
        <f t="shared" si="51"/>
        <v>3165</v>
      </c>
      <c r="B783">
        <v>815</v>
      </c>
      <c r="C783" s="823" t="s">
        <v>2771</v>
      </c>
      <c r="D783" t="s">
        <v>2770</v>
      </c>
      <c r="E783">
        <f t="shared" si="52"/>
        <v>0</v>
      </c>
      <c r="F783">
        <f t="shared" si="53"/>
        <v>79</v>
      </c>
      <c r="G783">
        <f t="shared" si="54"/>
        <v>93</v>
      </c>
    </row>
    <row r="784" spans="1:7" x14ac:dyDescent="0.15">
      <c r="A784" t="str">
        <f t="shared" si="51"/>
        <v>3242</v>
      </c>
      <c r="B784">
        <v>816</v>
      </c>
      <c r="C784" s="824" t="s">
        <v>2773</v>
      </c>
      <c r="D784" t="s">
        <v>2772</v>
      </c>
      <c r="E784">
        <f t="shared" si="52"/>
        <v>117</v>
      </c>
      <c r="F784">
        <f t="shared" si="53"/>
        <v>217</v>
      </c>
      <c r="G784">
        <f t="shared" si="54"/>
        <v>216</v>
      </c>
    </row>
    <row r="785" spans="1:7" x14ac:dyDescent="0.15">
      <c r="A785" t="str">
        <f t="shared" si="51"/>
        <v>3245</v>
      </c>
      <c r="B785">
        <v>817</v>
      </c>
      <c r="C785" s="825" t="s">
        <v>2775</v>
      </c>
      <c r="D785" t="s">
        <v>2774</v>
      </c>
      <c r="E785">
        <f t="shared" si="52"/>
        <v>123</v>
      </c>
      <c r="F785">
        <f t="shared" si="53"/>
        <v>221</v>
      </c>
      <c r="G785">
        <f t="shared" si="54"/>
        <v>216</v>
      </c>
    </row>
    <row r="786" spans="1:7" x14ac:dyDescent="0.15">
      <c r="A786" t="str">
        <f t="shared" si="51"/>
        <v>3248</v>
      </c>
      <c r="B786">
        <v>818</v>
      </c>
      <c r="C786" s="826" t="s">
        <v>2777</v>
      </c>
      <c r="D786" t="s">
        <v>2776</v>
      </c>
      <c r="E786">
        <f t="shared" si="52"/>
        <v>123</v>
      </c>
      <c r="F786">
        <f t="shared" si="53"/>
        <v>210</v>
      </c>
      <c r="G786">
        <f t="shared" si="54"/>
        <v>200</v>
      </c>
    </row>
    <row r="787" spans="1:7" x14ac:dyDescent="0.15">
      <c r="A787" t="str">
        <f t="shared" si="51"/>
        <v>3252</v>
      </c>
      <c r="B787">
        <v>819</v>
      </c>
      <c r="C787" s="827" t="s">
        <v>2779</v>
      </c>
      <c r="D787" t="s">
        <v>2778</v>
      </c>
      <c r="E787">
        <f t="shared" si="52"/>
        <v>65</v>
      </c>
      <c r="F787">
        <f t="shared" si="53"/>
        <v>210</v>
      </c>
      <c r="G787">
        <f t="shared" si="54"/>
        <v>210</v>
      </c>
    </row>
    <row r="788" spans="1:7" x14ac:dyDescent="0.15">
      <c r="A788" t="str">
        <f t="shared" si="51"/>
        <v>3255</v>
      </c>
      <c r="B788">
        <v>820</v>
      </c>
      <c r="C788" s="828" t="s">
        <v>2781</v>
      </c>
      <c r="D788" t="s">
        <v>2780</v>
      </c>
      <c r="E788">
        <f t="shared" si="52"/>
        <v>50</v>
      </c>
      <c r="F788">
        <f t="shared" si="53"/>
        <v>212</v>
      </c>
      <c r="G788">
        <f t="shared" si="54"/>
        <v>203</v>
      </c>
    </row>
    <row r="789" spans="1:7" x14ac:dyDescent="0.15">
      <c r="A789" t="str">
        <f t="shared" si="51"/>
        <v>3258</v>
      </c>
      <c r="B789">
        <v>821</v>
      </c>
      <c r="C789" s="829" t="s">
        <v>2783</v>
      </c>
      <c r="D789" t="s">
        <v>2782</v>
      </c>
      <c r="E789">
        <f t="shared" si="52"/>
        <v>67</v>
      </c>
      <c r="F789">
        <f t="shared" si="53"/>
        <v>196</v>
      </c>
      <c r="G789">
        <f t="shared" si="54"/>
        <v>183</v>
      </c>
    </row>
    <row r="790" spans="1:7" x14ac:dyDescent="0.15">
      <c r="A790" t="str">
        <f t="shared" si="51"/>
        <v>3262</v>
      </c>
      <c r="B790">
        <v>822</v>
      </c>
      <c r="C790" s="830" t="s">
        <v>2785</v>
      </c>
      <c r="D790" t="s">
        <v>2784</v>
      </c>
      <c r="E790">
        <f t="shared" si="52"/>
        <v>0</v>
      </c>
      <c r="F790">
        <f t="shared" si="53"/>
        <v>186</v>
      </c>
      <c r="G790">
        <f t="shared" si="54"/>
        <v>185</v>
      </c>
    </row>
    <row r="791" spans="1:7" x14ac:dyDescent="0.15">
      <c r="A791" t="str">
        <f t="shared" si="51"/>
        <v>3265</v>
      </c>
      <c r="B791">
        <v>824</v>
      </c>
      <c r="C791" s="831" t="s">
        <v>2787</v>
      </c>
      <c r="D791" t="s">
        <v>2786</v>
      </c>
      <c r="E791">
        <f t="shared" si="52"/>
        <v>0</v>
      </c>
      <c r="F791">
        <f t="shared" si="53"/>
        <v>194</v>
      </c>
      <c r="G791">
        <f t="shared" si="54"/>
        <v>182</v>
      </c>
    </row>
    <row r="792" spans="1:7" x14ac:dyDescent="0.15">
      <c r="A792" t="str">
        <f t="shared" si="51"/>
        <v>3268</v>
      </c>
      <c r="B792">
        <v>825</v>
      </c>
      <c r="C792" s="832" t="s">
        <v>2789</v>
      </c>
      <c r="D792" t="s">
        <v>2788</v>
      </c>
      <c r="E792">
        <f t="shared" si="52"/>
        <v>0</v>
      </c>
      <c r="F792">
        <f t="shared" si="53"/>
        <v>169</v>
      </c>
      <c r="G792">
        <f t="shared" si="54"/>
        <v>148</v>
      </c>
    </row>
    <row r="793" spans="1:7" x14ac:dyDescent="0.15">
      <c r="A793" t="str">
        <f t="shared" si="51"/>
        <v>3272</v>
      </c>
      <c r="B793">
        <v>826</v>
      </c>
      <c r="C793" s="833" t="s">
        <v>2791</v>
      </c>
      <c r="D793" t="s">
        <v>2790</v>
      </c>
      <c r="E793">
        <f t="shared" si="52"/>
        <v>0</v>
      </c>
      <c r="F793">
        <f t="shared" si="53"/>
        <v>161</v>
      </c>
      <c r="G793">
        <f t="shared" si="54"/>
        <v>156</v>
      </c>
    </row>
    <row r="794" spans="1:7" x14ac:dyDescent="0.15">
      <c r="A794" t="str">
        <f t="shared" si="51"/>
        <v>3275</v>
      </c>
      <c r="B794">
        <v>827</v>
      </c>
      <c r="C794" s="834" t="s">
        <v>2793</v>
      </c>
      <c r="D794" t="s">
        <v>2792</v>
      </c>
      <c r="E794">
        <f t="shared" si="52"/>
        <v>0</v>
      </c>
      <c r="F794">
        <f t="shared" si="53"/>
        <v>176</v>
      </c>
      <c r="G794">
        <f t="shared" si="54"/>
        <v>157</v>
      </c>
    </row>
    <row r="795" spans="1:7" x14ac:dyDescent="0.15">
      <c r="A795" t="str">
        <f t="shared" si="51"/>
        <v>3278</v>
      </c>
      <c r="B795">
        <v>828</v>
      </c>
      <c r="C795" s="835" t="s">
        <v>2795</v>
      </c>
      <c r="D795" t="s">
        <v>2794</v>
      </c>
      <c r="E795">
        <f t="shared" si="52"/>
        <v>0</v>
      </c>
      <c r="F795">
        <f t="shared" si="53"/>
        <v>153</v>
      </c>
      <c r="G795">
        <f t="shared" si="54"/>
        <v>122</v>
      </c>
    </row>
    <row r="796" spans="1:7" x14ac:dyDescent="0.15">
      <c r="A796" t="str">
        <f t="shared" si="51"/>
        <v>3282</v>
      </c>
      <c r="B796">
        <v>829</v>
      </c>
      <c r="C796" s="836" t="s">
        <v>2797</v>
      </c>
      <c r="D796" t="s">
        <v>2796</v>
      </c>
      <c r="E796">
        <f t="shared" si="52"/>
        <v>0</v>
      </c>
      <c r="F796">
        <f t="shared" si="53"/>
        <v>132</v>
      </c>
      <c r="G796">
        <f t="shared" si="54"/>
        <v>128</v>
      </c>
    </row>
    <row r="797" spans="1:7" x14ac:dyDescent="0.15">
      <c r="A797" t="str">
        <f t="shared" si="51"/>
        <v>3285</v>
      </c>
      <c r="B797">
        <v>830</v>
      </c>
      <c r="C797" s="837" t="s">
        <v>2799</v>
      </c>
      <c r="D797" t="s">
        <v>2798</v>
      </c>
      <c r="E797">
        <f t="shared" si="52"/>
        <v>0</v>
      </c>
      <c r="F797">
        <f t="shared" si="53"/>
        <v>147</v>
      </c>
      <c r="G797">
        <f t="shared" si="54"/>
        <v>132</v>
      </c>
    </row>
    <row r="798" spans="1:7" x14ac:dyDescent="0.15">
      <c r="A798" t="str">
        <f t="shared" si="51"/>
        <v>3288</v>
      </c>
      <c r="B798">
        <v>831</v>
      </c>
      <c r="C798" s="838" t="s">
        <v>2801</v>
      </c>
      <c r="D798" t="s">
        <v>2800</v>
      </c>
      <c r="E798">
        <f t="shared" si="52"/>
        <v>0</v>
      </c>
      <c r="F798">
        <f t="shared" si="53"/>
        <v>126</v>
      </c>
      <c r="G798">
        <f t="shared" si="54"/>
        <v>100</v>
      </c>
    </row>
    <row r="799" spans="1:7" x14ac:dyDescent="0.15">
      <c r="A799" t="str">
        <f t="shared" si="51"/>
        <v>3292</v>
      </c>
      <c r="B799">
        <v>832</v>
      </c>
      <c r="C799" s="839" t="s">
        <v>2803</v>
      </c>
      <c r="D799" t="s">
        <v>2802</v>
      </c>
      <c r="E799">
        <f t="shared" si="52"/>
        <v>0</v>
      </c>
      <c r="F799">
        <f t="shared" si="53"/>
        <v>90</v>
      </c>
      <c r="G799">
        <f t="shared" si="54"/>
        <v>83</v>
      </c>
    </row>
    <row r="800" spans="1:7" x14ac:dyDescent="0.15">
      <c r="A800" t="str">
        <f t="shared" si="51"/>
        <v>3295</v>
      </c>
      <c r="B800">
        <v>833</v>
      </c>
      <c r="C800" s="840" t="s">
        <v>2805</v>
      </c>
      <c r="D800" t="s">
        <v>2804</v>
      </c>
      <c r="E800">
        <f t="shared" si="52"/>
        <v>0</v>
      </c>
      <c r="F800">
        <f t="shared" si="53"/>
        <v>124</v>
      </c>
      <c r="G800">
        <f t="shared" si="54"/>
        <v>111</v>
      </c>
    </row>
    <row r="801" spans="1:7" x14ac:dyDescent="0.15">
      <c r="A801" t="str">
        <f t="shared" si="51"/>
        <v>3298</v>
      </c>
      <c r="B801">
        <v>834</v>
      </c>
      <c r="C801" s="841" t="s">
        <v>2807</v>
      </c>
      <c r="D801" t="s">
        <v>2806</v>
      </c>
      <c r="E801">
        <f t="shared" si="52"/>
        <v>0</v>
      </c>
      <c r="F801">
        <f t="shared" si="53"/>
        <v>103</v>
      </c>
      <c r="G801">
        <f t="shared" si="54"/>
        <v>82</v>
      </c>
    </row>
    <row r="802" spans="1:7" x14ac:dyDescent="0.15">
      <c r="A802" t="str">
        <f t="shared" si="51"/>
        <v>3302</v>
      </c>
      <c r="B802">
        <v>835</v>
      </c>
      <c r="C802" s="842" t="s">
        <v>2809</v>
      </c>
      <c r="D802" t="s">
        <v>2808</v>
      </c>
      <c r="E802">
        <f t="shared" si="52"/>
        <v>0</v>
      </c>
      <c r="F802">
        <f t="shared" si="53"/>
        <v>66</v>
      </c>
      <c r="G802">
        <f t="shared" si="54"/>
        <v>60</v>
      </c>
    </row>
    <row r="803" spans="1:7" x14ac:dyDescent="0.15">
      <c r="A803" t="str">
        <f t="shared" si="51"/>
        <v>3305</v>
      </c>
      <c r="B803">
        <v>836</v>
      </c>
      <c r="C803" s="843" t="s">
        <v>2811</v>
      </c>
      <c r="D803" t="s">
        <v>2810</v>
      </c>
      <c r="E803">
        <f t="shared" si="52"/>
        <v>0</v>
      </c>
      <c r="F803">
        <f t="shared" si="53"/>
        <v>74</v>
      </c>
      <c r="G803">
        <f t="shared" si="54"/>
        <v>65</v>
      </c>
    </row>
    <row r="804" spans="1:7" x14ac:dyDescent="0.15">
      <c r="A804" t="str">
        <f t="shared" si="51"/>
        <v>3308</v>
      </c>
      <c r="B804">
        <v>837</v>
      </c>
      <c r="C804" s="844" t="s">
        <v>2813</v>
      </c>
      <c r="D804" t="s">
        <v>2812</v>
      </c>
      <c r="E804">
        <f t="shared" si="52"/>
        <v>0</v>
      </c>
      <c r="F804">
        <f t="shared" si="53"/>
        <v>66</v>
      </c>
      <c r="G804">
        <f t="shared" si="54"/>
        <v>54</v>
      </c>
    </row>
    <row r="805" spans="1:7" x14ac:dyDescent="0.15">
      <c r="A805" t="str">
        <f t="shared" si="51"/>
        <v>3375</v>
      </c>
      <c r="B805">
        <v>838</v>
      </c>
      <c r="C805" s="845" t="s">
        <v>2815</v>
      </c>
      <c r="D805" t="s">
        <v>2814</v>
      </c>
      <c r="E805">
        <f t="shared" si="52"/>
        <v>129</v>
      </c>
      <c r="F805">
        <f t="shared" si="53"/>
        <v>224</v>
      </c>
      <c r="G805">
        <f t="shared" si="54"/>
        <v>199</v>
      </c>
    </row>
    <row r="806" spans="1:7" x14ac:dyDescent="0.15">
      <c r="A806" t="str">
        <f t="shared" si="51"/>
        <v>3385</v>
      </c>
      <c r="B806">
        <v>839</v>
      </c>
      <c r="C806" s="846" t="s">
        <v>2817</v>
      </c>
      <c r="D806" t="s">
        <v>2816</v>
      </c>
      <c r="E806">
        <f t="shared" si="52"/>
        <v>59</v>
      </c>
      <c r="F806">
        <f t="shared" si="53"/>
        <v>214</v>
      </c>
      <c r="G806">
        <f t="shared" si="54"/>
        <v>178</v>
      </c>
    </row>
    <row r="807" spans="1:7" x14ac:dyDescent="0.15">
      <c r="A807" t="str">
        <f t="shared" si="51"/>
        <v>3395</v>
      </c>
      <c r="B807">
        <v>840</v>
      </c>
      <c r="C807" s="847" t="s">
        <v>2819</v>
      </c>
      <c r="D807" t="s">
        <v>2818</v>
      </c>
      <c r="E807">
        <f t="shared" si="52"/>
        <v>0</v>
      </c>
      <c r="F807">
        <f t="shared" si="53"/>
        <v>197</v>
      </c>
      <c r="G807">
        <f t="shared" si="54"/>
        <v>144</v>
      </c>
    </row>
    <row r="808" spans="1:7" x14ac:dyDescent="0.15">
      <c r="A808" t="str">
        <f t="shared" si="51"/>
        <v>3405</v>
      </c>
      <c r="B808">
        <v>841</v>
      </c>
      <c r="C808" s="848" t="s">
        <v>2821</v>
      </c>
      <c r="D808" t="s">
        <v>2820</v>
      </c>
      <c r="E808">
        <f t="shared" si="52"/>
        <v>0</v>
      </c>
      <c r="F808">
        <f t="shared" si="53"/>
        <v>174</v>
      </c>
      <c r="G808">
        <f t="shared" si="54"/>
        <v>104</v>
      </c>
    </row>
    <row r="809" spans="1:7" x14ac:dyDescent="0.15">
      <c r="A809" t="str">
        <f t="shared" si="51"/>
        <v>3415</v>
      </c>
      <c r="B809">
        <v>842</v>
      </c>
      <c r="C809" s="849" t="s">
        <v>2823</v>
      </c>
      <c r="D809" t="s">
        <v>2822</v>
      </c>
      <c r="E809">
        <f t="shared" si="52"/>
        <v>0</v>
      </c>
      <c r="F809">
        <f t="shared" si="53"/>
        <v>119</v>
      </c>
      <c r="G809">
        <f t="shared" si="54"/>
        <v>75</v>
      </c>
    </row>
    <row r="810" spans="1:7" x14ac:dyDescent="0.15">
      <c r="A810" t="str">
        <f t="shared" si="51"/>
        <v>3425</v>
      </c>
      <c r="B810">
        <v>843</v>
      </c>
      <c r="C810" s="850" t="s">
        <v>2825</v>
      </c>
      <c r="D810" t="s">
        <v>2824</v>
      </c>
      <c r="E810">
        <f t="shared" si="52"/>
        <v>0</v>
      </c>
      <c r="F810">
        <f t="shared" si="53"/>
        <v>102</v>
      </c>
      <c r="G810">
        <f t="shared" si="54"/>
        <v>68</v>
      </c>
    </row>
    <row r="811" spans="1:7" x14ac:dyDescent="0.15">
      <c r="A811" t="str">
        <f t="shared" si="51"/>
        <v>3435</v>
      </c>
      <c r="B811">
        <v>844</v>
      </c>
      <c r="C811" s="851" t="s">
        <v>2827</v>
      </c>
      <c r="D811" t="s">
        <v>2826</v>
      </c>
      <c r="E811">
        <f t="shared" si="52"/>
        <v>0</v>
      </c>
      <c r="F811">
        <f t="shared" si="53"/>
        <v>71</v>
      </c>
      <c r="G811">
        <f t="shared" si="54"/>
        <v>49</v>
      </c>
    </row>
    <row r="812" spans="1:7" x14ac:dyDescent="0.15">
      <c r="A812" t="str">
        <f t="shared" si="51"/>
        <v>3935</v>
      </c>
      <c r="B812">
        <v>846</v>
      </c>
      <c r="C812" s="852" t="s">
        <v>2829</v>
      </c>
      <c r="D812" t="s">
        <v>2828</v>
      </c>
      <c r="E812">
        <f t="shared" si="52"/>
        <v>240</v>
      </c>
      <c r="F812">
        <f t="shared" si="53"/>
        <v>235</v>
      </c>
      <c r="G812">
        <f t="shared" si="54"/>
        <v>122</v>
      </c>
    </row>
    <row r="813" spans="1:7" x14ac:dyDescent="0.15">
      <c r="A813" t="str">
        <f t="shared" si="51"/>
        <v>3945</v>
      </c>
      <c r="B813">
        <v>847</v>
      </c>
      <c r="C813" s="853" t="s">
        <v>2831</v>
      </c>
      <c r="D813" t="s">
        <v>2830</v>
      </c>
      <c r="E813">
        <f t="shared" si="52"/>
        <v>239</v>
      </c>
      <c r="F813">
        <f t="shared" si="53"/>
        <v>230</v>
      </c>
      <c r="G813">
        <f t="shared" si="54"/>
        <v>0</v>
      </c>
    </row>
    <row r="814" spans="1:7" x14ac:dyDescent="0.15">
      <c r="A814" t="str">
        <f t="shared" si="51"/>
        <v>3955</v>
      </c>
      <c r="B814">
        <v>848</v>
      </c>
      <c r="C814" s="854" t="s">
        <v>2833</v>
      </c>
      <c r="D814" t="s">
        <v>2832</v>
      </c>
      <c r="E814">
        <f t="shared" si="52"/>
        <v>236</v>
      </c>
      <c r="F814">
        <f t="shared" si="53"/>
        <v>225</v>
      </c>
      <c r="G814">
        <f t="shared" si="54"/>
        <v>0</v>
      </c>
    </row>
    <row r="815" spans="1:7" x14ac:dyDescent="0.15">
      <c r="A815" t="str">
        <f t="shared" si="51"/>
        <v>3965</v>
      </c>
      <c r="B815">
        <v>849</v>
      </c>
      <c r="C815" s="855" t="s">
        <v>2835</v>
      </c>
      <c r="D815" t="s">
        <v>2834</v>
      </c>
      <c r="E815">
        <f t="shared" si="52"/>
        <v>233</v>
      </c>
      <c r="F815">
        <f t="shared" si="53"/>
        <v>220</v>
      </c>
      <c r="G815">
        <f t="shared" si="54"/>
        <v>0</v>
      </c>
    </row>
    <row r="816" spans="1:7" x14ac:dyDescent="0.15">
      <c r="A816" t="str">
        <f t="shared" si="51"/>
        <v>3975</v>
      </c>
      <c r="B816">
        <v>850</v>
      </c>
      <c r="C816" s="856" t="s">
        <v>2837</v>
      </c>
      <c r="D816" t="s">
        <v>2836</v>
      </c>
      <c r="E816">
        <f t="shared" si="52"/>
        <v>187</v>
      </c>
      <c r="F816">
        <f t="shared" si="53"/>
        <v>168</v>
      </c>
      <c r="G816">
        <f t="shared" si="54"/>
        <v>0</v>
      </c>
    </row>
    <row r="817" spans="1:7" x14ac:dyDescent="0.15">
      <c r="A817" t="str">
        <f t="shared" si="51"/>
        <v>3985</v>
      </c>
      <c r="B817">
        <v>851</v>
      </c>
      <c r="C817" s="857" t="s">
        <v>2839</v>
      </c>
      <c r="D817" t="s">
        <v>2838</v>
      </c>
      <c r="E817">
        <f t="shared" si="52"/>
        <v>155</v>
      </c>
      <c r="F817">
        <f t="shared" si="53"/>
        <v>137</v>
      </c>
      <c r="G817">
        <f t="shared" si="54"/>
        <v>0</v>
      </c>
    </row>
    <row r="818" spans="1:7" x14ac:dyDescent="0.15">
      <c r="A818" t="str">
        <f t="shared" si="51"/>
        <v>3995</v>
      </c>
      <c r="B818">
        <v>852</v>
      </c>
      <c r="C818" s="858" t="s">
        <v>2841</v>
      </c>
      <c r="D818" t="s">
        <v>2840</v>
      </c>
      <c r="E818">
        <f t="shared" si="52"/>
        <v>106</v>
      </c>
      <c r="F818">
        <f t="shared" si="53"/>
        <v>91</v>
      </c>
      <c r="G818">
        <f t="shared" si="54"/>
        <v>7</v>
      </c>
    </row>
    <row r="819" spans="1:7" x14ac:dyDescent="0.15">
      <c r="A819" t="str">
        <f t="shared" si="51"/>
        <v>4485</v>
      </c>
      <c r="B819">
        <v>853</v>
      </c>
      <c r="C819" s="859" t="s">
        <v>2843</v>
      </c>
      <c r="D819" t="s">
        <v>2842</v>
      </c>
      <c r="E819">
        <f t="shared" si="52"/>
        <v>93</v>
      </c>
      <c r="F819">
        <f t="shared" si="53"/>
        <v>71</v>
      </c>
      <c r="G819">
        <f t="shared" si="54"/>
        <v>24</v>
      </c>
    </row>
    <row r="820" spans="1:7" x14ac:dyDescent="0.15">
      <c r="A820" t="str">
        <f t="shared" si="51"/>
        <v>4495</v>
      </c>
      <c r="B820">
        <v>854</v>
      </c>
      <c r="C820" s="860" t="s">
        <v>2845</v>
      </c>
      <c r="D820" t="s">
        <v>2844</v>
      </c>
      <c r="E820">
        <f t="shared" si="52"/>
        <v>131</v>
      </c>
      <c r="F820">
        <f t="shared" si="53"/>
        <v>110</v>
      </c>
      <c r="G820">
        <f t="shared" si="54"/>
        <v>44</v>
      </c>
    </row>
    <row r="821" spans="1:7" x14ac:dyDescent="0.15">
      <c r="A821" t="str">
        <f t="shared" si="51"/>
        <v>4505</v>
      </c>
      <c r="B821">
        <v>855</v>
      </c>
      <c r="C821" s="861" t="s">
        <v>2847</v>
      </c>
      <c r="D821" t="s">
        <v>2846</v>
      </c>
      <c r="E821">
        <f t="shared" si="52"/>
        <v>155</v>
      </c>
      <c r="F821">
        <f t="shared" si="53"/>
        <v>137</v>
      </c>
      <c r="G821">
        <f t="shared" si="54"/>
        <v>72</v>
      </c>
    </row>
    <row r="822" spans="1:7" x14ac:dyDescent="0.15">
      <c r="A822" t="str">
        <f t="shared" si="51"/>
        <v>4515</v>
      </c>
      <c r="B822">
        <v>856</v>
      </c>
      <c r="C822" s="862" t="s">
        <v>2849</v>
      </c>
      <c r="D822" t="s">
        <v>2848</v>
      </c>
      <c r="E822">
        <f t="shared" si="52"/>
        <v>181</v>
      </c>
      <c r="F822">
        <f t="shared" si="53"/>
        <v>165</v>
      </c>
      <c r="G822">
        <f t="shared" si="54"/>
        <v>112</v>
      </c>
    </row>
    <row r="823" spans="1:7" x14ac:dyDescent="0.15">
      <c r="A823" t="str">
        <f t="shared" si="51"/>
        <v>4525</v>
      </c>
      <c r="B823">
        <v>857</v>
      </c>
      <c r="C823" s="863" t="s">
        <v>2851</v>
      </c>
      <c r="D823" t="s">
        <v>2850</v>
      </c>
      <c r="E823">
        <f t="shared" si="52"/>
        <v>197</v>
      </c>
      <c r="F823">
        <f t="shared" si="53"/>
        <v>186</v>
      </c>
      <c r="G823">
        <f t="shared" si="54"/>
        <v>142</v>
      </c>
    </row>
    <row r="824" spans="1:7" x14ac:dyDescent="0.15">
      <c r="A824" t="str">
        <f t="shared" si="51"/>
        <v>4535</v>
      </c>
      <c r="B824">
        <v>858</v>
      </c>
      <c r="C824" s="864" t="s">
        <v>2853</v>
      </c>
      <c r="D824" t="s">
        <v>2852</v>
      </c>
      <c r="E824">
        <f t="shared" si="52"/>
        <v>212</v>
      </c>
      <c r="F824">
        <f t="shared" si="53"/>
        <v>204</v>
      </c>
      <c r="G824">
        <f t="shared" si="54"/>
        <v>170</v>
      </c>
    </row>
    <row r="825" spans="1:7" x14ac:dyDescent="0.15">
      <c r="A825" t="str">
        <f t="shared" si="51"/>
        <v>4545</v>
      </c>
      <c r="B825">
        <v>859</v>
      </c>
      <c r="C825" s="865" t="s">
        <v>2855</v>
      </c>
      <c r="D825" t="s">
        <v>2854</v>
      </c>
      <c r="E825">
        <f t="shared" si="52"/>
        <v>222</v>
      </c>
      <c r="F825">
        <f t="shared" si="53"/>
        <v>217</v>
      </c>
      <c r="G825">
        <f t="shared" si="54"/>
        <v>194</v>
      </c>
    </row>
    <row r="826" spans="1:7" x14ac:dyDescent="0.15">
      <c r="A826" t="str">
        <f t="shared" si="51"/>
        <v>4625</v>
      </c>
      <c r="B826">
        <v>860</v>
      </c>
      <c r="C826" s="866" t="s">
        <v>2857</v>
      </c>
      <c r="D826" t="s">
        <v>2856</v>
      </c>
      <c r="E826">
        <f t="shared" si="52"/>
        <v>78</v>
      </c>
      <c r="F826">
        <f t="shared" si="53"/>
        <v>38</v>
      </c>
      <c r="G826">
        <f t="shared" si="54"/>
        <v>20</v>
      </c>
    </row>
    <row r="827" spans="1:7" x14ac:dyDescent="0.15">
      <c r="A827" t="str">
        <f t="shared" si="51"/>
        <v>4635</v>
      </c>
      <c r="B827">
        <v>861</v>
      </c>
      <c r="C827" s="867" t="s">
        <v>2859</v>
      </c>
      <c r="D827" t="s">
        <v>2858</v>
      </c>
      <c r="E827">
        <f t="shared" si="52"/>
        <v>144</v>
      </c>
      <c r="F827">
        <f t="shared" si="53"/>
        <v>90</v>
      </c>
      <c r="G827">
        <f t="shared" si="54"/>
        <v>51</v>
      </c>
    </row>
    <row r="828" spans="1:7" x14ac:dyDescent="0.15">
      <c r="A828" t="str">
        <f t="shared" si="51"/>
        <v>4645</v>
      </c>
      <c r="B828">
        <v>862</v>
      </c>
      <c r="C828" s="868" t="s">
        <v>2861</v>
      </c>
      <c r="D828" t="s">
        <v>2860</v>
      </c>
      <c r="E828">
        <f t="shared" si="52"/>
        <v>177</v>
      </c>
      <c r="F828">
        <f t="shared" si="53"/>
        <v>127</v>
      </c>
      <c r="G828">
        <f t="shared" si="54"/>
        <v>92</v>
      </c>
    </row>
    <row r="829" spans="1:7" x14ac:dyDescent="0.15">
      <c r="A829" t="str">
        <f t="shared" si="51"/>
        <v>4655</v>
      </c>
      <c r="B829">
        <v>863</v>
      </c>
      <c r="C829" s="869" t="s">
        <v>2863</v>
      </c>
      <c r="D829" t="s">
        <v>2862</v>
      </c>
      <c r="E829">
        <f t="shared" si="52"/>
        <v>192</v>
      </c>
      <c r="F829">
        <f t="shared" si="53"/>
        <v>148</v>
      </c>
      <c r="G829">
        <f t="shared" si="54"/>
        <v>119</v>
      </c>
    </row>
    <row r="830" spans="1:7" x14ac:dyDescent="0.15">
      <c r="A830" t="str">
        <f t="shared" si="51"/>
        <v>4665</v>
      </c>
      <c r="B830">
        <v>864</v>
      </c>
      <c r="C830" s="870" t="s">
        <v>2865</v>
      </c>
      <c r="D830" t="s">
        <v>2864</v>
      </c>
      <c r="E830">
        <f t="shared" si="52"/>
        <v>209</v>
      </c>
      <c r="F830">
        <f t="shared" si="53"/>
        <v>174</v>
      </c>
      <c r="G830">
        <f t="shared" si="54"/>
        <v>151</v>
      </c>
    </row>
    <row r="831" spans="1:7" x14ac:dyDescent="0.15">
      <c r="A831" t="str">
        <f t="shared" si="51"/>
        <v>4675</v>
      </c>
      <c r="B831">
        <v>865</v>
      </c>
      <c r="C831" s="871" t="s">
        <v>2867</v>
      </c>
      <c r="D831" t="s">
        <v>2866</v>
      </c>
      <c r="E831">
        <f t="shared" si="52"/>
        <v>221</v>
      </c>
      <c r="F831">
        <f t="shared" si="53"/>
        <v>194</v>
      </c>
      <c r="G831">
        <f t="shared" si="54"/>
        <v>176</v>
      </c>
    </row>
    <row r="832" spans="1:7" x14ac:dyDescent="0.15">
      <c r="A832" t="str">
        <f t="shared" si="51"/>
        <v>4685</v>
      </c>
      <c r="B832">
        <v>866</v>
      </c>
      <c r="C832" s="872" t="s">
        <v>2869</v>
      </c>
      <c r="D832" t="s">
        <v>2868</v>
      </c>
      <c r="E832">
        <f t="shared" si="52"/>
        <v>228</v>
      </c>
      <c r="F832">
        <f t="shared" si="53"/>
        <v>210</v>
      </c>
      <c r="G832">
        <f t="shared" si="54"/>
        <v>197</v>
      </c>
    </row>
    <row r="833" spans="1:7" x14ac:dyDescent="0.15">
      <c r="A833" t="str">
        <f t="shared" si="51"/>
        <v>4695</v>
      </c>
      <c r="B833">
        <v>867</v>
      </c>
      <c r="C833" s="873" t="s">
        <v>2871</v>
      </c>
      <c r="D833" t="s">
        <v>2870</v>
      </c>
      <c r="E833">
        <f t="shared" si="52"/>
        <v>83</v>
      </c>
      <c r="F833">
        <f t="shared" si="53"/>
        <v>40</v>
      </c>
      <c r="G833">
        <f t="shared" si="54"/>
        <v>33</v>
      </c>
    </row>
    <row r="834" spans="1:7" x14ac:dyDescent="0.15">
      <c r="A834" t="str">
        <f t="shared" si="51"/>
        <v>4705</v>
      </c>
      <c r="B834">
        <v>868</v>
      </c>
      <c r="C834" s="874" t="s">
        <v>2873</v>
      </c>
      <c r="D834" t="s">
        <v>2872</v>
      </c>
      <c r="E834">
        <f t="shared" si="52"/>
        <v>127</v>
      </c>
      <c r="F834">
        <f t="shared" si="53"/>
        <v>76</v>
      </c>
      <c r="G834">
        <f t="shared" si="54"/>
        <v>62</v>
      </c>
    </row>
    <row r="835" spans="1:7" x14ac:dyDescent="0.15">
      <c r="A835" t="str">
        <f t="shared" ref="A835:A898" si="55">LEFT(D835,LEN(D835)-1)</f>
        <v>4715</v>
      </c>
      <c r="B835">
        <v>869</v>
      </c>
      <c r="C835" s="875" t="s">
        <v>2875</v>
      </c>
      <c r="D835" t="s">
        <v>2874</v>
      </c>
      <c r="E835">
        <f t="shared" si="52"/>
        <v>155</v>
      </c>
      <c r="F835">
        <f t="shared" si="53"/>
        <v>110</v>
      </c>
      <c r="G835">
        <f t="shared" si="54"/>
        <v>95</v>
      </c>
    </row>
    <row r="836" spans="1:7" x14ac:dyDescent="0.15">
      <c r="A836" t="str">
        <f t="shared" si="55"/>
        <v>4725</v>
      </c>
      <c r="B836">
        <v>870</v>
      </c>
      <c r="C836" s="876" t="s">
        <v>2877</v>
      </c>
      <c r="D836" t="s">
        <v>2876</v>
      </c>
      <c r="E836">
        <f t="shared" si="52"/>
        <v>178</v>
      </c>
      <c r="F836">
        <f t="shared" si="53"/>
        <v>141</v>
      </c>
      <c r="G836">
        <f t="shared" si="54"/>
        <v>127</v>
      </c>
    </row>
    <row r="837" spans="1:7" x14ac:dyDescent="0.15">
      <c r="A837" t="str">
        <f t="shared" si="55"/>
        <v>4735</v>
      </c>
      <c r="B837">
        <v>871</v>
      </c>
      <c r="C837" s="877" t="s">
        <v>2879</v>
      </c>
      <c r="D837" t="s">
        <v>2878</v>
      </c>
      <c r="E837">
        <f t="shared" si="52"/>
        <v>197</v>
      </c>
      <c r="F837">
        <f t="shared" si="53"/>
        <v>170</v>
      </c>
      <c r="G837">
        <f t="shared" si="54"/>
        <v>160</v>
      </c>
    </row>
    <row r="838" spans="1:7" x14ac:dyDescent="0.15">
      <c r="A838" t="str">
        <f t="shared" si="55"/>
        <v>4745</v>
      </c>
      <c r="B838">
        <v>872</v>
      </c>
      <c r="C838" s="878" t="s">
        <v>2881</v>
      </c>
      <c r="D838" t="s">
        <v>2880</v>
      </c>
      <c r="E838">
        <f t="shared" ref="E838:E901" si="56">HEX2DEC(MID(C838,2,2))</f>
        <v>212</v>
      </c>
      <c r="F838">
        <f t="shared" ref="F838:F901" si="57">HEX2DEC(MID(C838,4,2))</f>
        <v>190</v>
      </c>
      <c r="G838">
        <f t="shared" ref="G838:G901" si="58">HEX2DEC(MID(C838,6,2))</f>
        <v>182</v>
      </c>
    </row>
    <row r="839" spans="1:7" x14ac:dyDescent="0.15">
      <c r="A839" t="str">
        <f t="shared" si="55"/>
        <v>4755</v>
      </c>
      <c r="B839">
        <v>873</v>
      </c>
      <c r="C839" s="879" t="s">
        <v>2883</v>
      </c>
      <c r="D839" t="s">
        <v>2882</v>
      </c>
      <c r="E839">
        <f t="shared" si="56"/>
        <v>221</v>
      </c>
      <c r="F839">
        <f t="shared" si="57"/>
        <v>205</v>
      </c>
      <c r="G839">
        <f t="shared" si="58"/>
        <v>199</v>
      </c>
    </row>
    <row r="840" spans="1:7" x14ac:dyDescent="0.15">
      <c r="A840" t="str">
        <f t="shared" si="55"/>
        <v>4975</v>
      </c>
      <c r="B840">
        <v>874</v>
      </c>
      <c r="C840" s="880" t="s">
        <v>2885</v>
      </c>
      <c r="D840" t="s">
        <v>2884</v>
      </c>
      <c r="E840">
        <f t="shared" si="56"/>
        <v>68</v>
      </c>
      <c r="F840">
        <f t="shared" si="57"/>
        <v>30</v>
      </c>
      <c r="G840">
        <f t="shared" si="58"/>
        <v>31</v>
      </c>
    </row>
    <row r="841" spans="1:7" x14ac:dyDescent="0.15">
      <c r="A841" t="str">
        <f t="shared" si="55"/>
        <v>4985</v>
      </c>
      <c r="B841">
        <v>875</v>
      </c>
      <c r="C841" s="881" t="s">
        <v>2887</v>
      </c>
      <c r="D841" t="s">
        <v>2886</v>
      </c>
      <c r="E841">
        <f t="shared" si="56"/>
        <v>133</v>
      </c>
      <c r="F841">
        <f t="shared" si="57"/>
        <v>74</v>
      </c>
      <c r="G841">
        <f t="shared" si="58"/>
        <v>80</v>
      </c>
    </row>
    <row r="842" spans="1:7" x14ac:dyDescent="0.15">
      <c r="A842" t="str">
        <f t="shared" si="55"/>
        <v>4995</v>
      </c>
      <c r="B842">
        <v>876</v>
      </c>
      <c r="C842" s="882" t="s">
        <v>2889</v>
      </c>
      <c r="D842" t="s">
        <v>2888</v>
      </c>
      <c r="E842">
        <f t="shared" si="56"/>
        <v>161</v>
      </c>
      <c r="F842">
        <f t="shared" si="57"/>
        <v>105</v>
      </c>
      <c r="G842">
        <f t="shared" si="58"/>
        <v>113</v>
      </c>
    </row>
    <row r="843" spans="1:7" x14ac:dyDescent="0.15">
      <c r="A843" t="str">
        <f t="shared" si="55"/>
        <v>5005</v>
      </c>
      <c r="B843">
        <v>877</v>
      </c>
      <c r="C843" s="883" t="s">
        <v>2891</v>
      </c>
      <c r="D843" t="s">
        <v>2890</v>
      </c>
      <c r="E843">
        <f t="shared" si="56"/>
        <v>183</v>
      </c>
      <c r="F843">
        <f t="shared" si="57"/>
        <v>132</v>
      </c>
      <c r="G843">
        <f t="shared" si="58"/>
        <v>140</v>
      </c>
    </row>
    <row r="844" spans="1:7" x14ac:dyDescent="0.15">
      <c r="A844" t="str">
        <f t="shared" si="55"/>
        <v>5015</v>
      </c>
      <c r="B844">
        <v>878</v>
      </c>
      <c r="C844" s="884" t="s">
        <v>2893</v>
      </c>
      <c r="D844" t="s">
        <v>2892</v>
      </c>
      <c r="E844">
        <f t="shared" si="56"/>
        <v>209</v>
      </c>
      <c r="F844">
        <f t="shared" si="57"/>
        <v>169</v>
      </c>
      <c r="G844">
        <f t="shared" si="58"/>
        <v>176</v>
      </c>
    </row>
    <row r="845" spans="1:7" x14ac:dyDescent="0.15">
      <c r="A845" t="str">
        <f t="shared" si="55"/>
        <v>5025</v>
      </c>
      <c r="B845">
        <v>879</v>
      </c>
      <c r="C845" s="885" t="s">
        <v>2895</v>
      </c>
      <c r="D845" t="s">
        <v>2894</v>
      </c>
      <c r="E845">
        <f t="shared" si="56"/>
        <v>219</v>
      </c>
      <c r="F845">
        <f t="shared" si="57"/>
        <v>188</v>
      </c>
      <c r="G845">
        <f t="shared" si="58"/>
        <v>193</v>
      </c>
    </row>
    <row r="846" spans="1:7" x14ac:dyDescent="0.15">
      <c r="A846" t="str">
        <f t="shared" si="55"/>
        <v>5035</v>
      </c>
      <c r="B846">
        <v>880</v>
      </c>
      <c r="C846" s="886" t="s">
        <v>2897</v>
      </c>
      <c r="D846" t="s">
        <v>2896</v>
      </c>
      <c r="E846">
        <f t="shared" si="56"/>
        <v>227</v>
      </c>
      <c r="F846">
        <f t="shared" si="57"/>
        <v>203</v>
      </c>
      <c r="G846">
        <f t="shared" si="58"/>
        <v>208</v>
      </c>
    </row>
    <row r="847" spans="1:7" x14ac:dyDescent="0.15">
      <c r="A847" t="str">
        <f t="shared" si="55"/>
        <v>5115</v>
      </c>
      <c r="B847">
        <v>881</v>
      </c>
      <c r="C847" s="887" t="s">
        <v>2899</v>
      </c>
      <c r="D847" t="s">
        <v>2898</v>
      </c>
      <c r="E847">
        <f t="shared" si="56"/>
        <v>75</v>
      </c>
      <c r="F847">
        <f t="shared" si="57"/>
        <v>37</v>
      </c>
      <c r="G847">
        <f t="shared" si="58"/>
        <v>62</v>
      </c>
    </row>
    <row r="848" spans="1:7" x14ac:dyDescent="0.15">
      <c r="A848" t="str">
        <f t="shared" si="55"/>
        <v>5125</v>
      </c>
      <c r="B848">
        <v>882</v>
      </c>
      <c r="C848" s="888" t="s">
        <v>2901</v>
      </c>
      <c r="D848" t="s">
        <v>2900</v>
      </c>
      <c r="E848">
        <f t="shared" si="56"/>
        <v>112</v>
      </c>
      <c r="F848">
        <f t="shared" si="57"/>
        <v>65</v>
      </c>
      <c r="G848">
        <f t="shared" si="58"/>
        <v>101</v>
      </c>
    </row>
    <row r="849" spans="1:7" x14ac:dyDescent="0.15">
      <c r="A849" t="str">
        <f t="shared" si="55"/>
        <v>5135</v>
      </c>
      <c r="B849">
        <v>883</v>
      </c>
      <c r="C849" s="889" t="s">
        <v>2903</v>
      </c>
      <c r="D849" t="s">
        <v>2902</v>
      </c>
      <c r="E849">
        <f t="shared" si="56"/>
        <v>136</v>
      </c>
      <c r="F849">
        <f t="shared" si="57"/>
        <v>94</v>
      </c>
      <c r="G849">
        <f t="shared" si="58"/>
        <v>128</v>
      </c>
    </row>
    <row r="850" spans="1:7" x14ac:dyDescent="0.15">
      <c r="A850" t="str">
        <f t="shared" si="55"/>
        <v>5145</v>
      </c>
      <c r="B850">
        <v>884</v>
      </c>
      <c r="C850" s="890" t="s">
        <v>2905</v>
      </c>
      <c r="D850" t="s">
        <v>2904</v>
      </c>
      <c r="E850">
        <f t="shared" si="56"/>
        <v>161</v>
      </c>
      <c r="F850">
        <f t="shared" si="57"/>
        <v>126</v>
      </c>
      <c r="G850">
        <f t="shared" si="58"/>
        <v>154</v>
      </c>
    </row>
    <row r="851" spans="1:7" x14ac:dyDescent="0.15">
      <c r="A851" t="str">
        <f t="shared" si="55"/>
        <v>5155</v>
      </c>
      <c r="B851">
        <v>885</v>
      </c>
      <c r="C851" s="891" t="s">
        <v>2907</v>
      </c>
      <c r="D851" t="s">
        <v>2906</v>
      </c>
      <c r="E851">
        <f t="shared" si="56"/>
        <v>192</v>
      </c>
      <c r="F851">
        <f t="shared" si="57"/>
        <v>166</v>
      </c>
      <c r="G851">
        <f t="shared" si="58"/>
        <v>189</v>
      </c>
    </row>
    <row r="852" spans="1:7" x14ac:dyDescent="0.15">
      <c r="A852" t="str">
        <f t="shared" si="55"/>
        <v>5165</v>
      </c>
      <c r="B852">
        <v>886</v>
      </c>
      <c r="C852" s="892" t="s">
        <v>2909</v>
      </c>
      <c r="D852" t="s">
        <v>2908</v>
      </c>
      <c r="E852">
        <f t="shared" si="56"/>
        <v>214</v>
      </c>
      <c r="F852">
        <f t="shared" si="57"/>
        <v>197</v>
      </c>
      <c r="G852">
        <f t="shared" si="58"/>
        <v>211</v>
      </c>
    </row>
    <row r="853" spans="1:7" x14ac:dyDescent="0.15">
      <c r="A853" t="str">
        <f t="shared" si="55"/>
        <v>5175</v>
      </c>
      <c r="B853">
        <v>887</v>
      </c>
      <c r="C853" s="893" t="s">
        <v>2911</v>
      </c>
      <c r="D853" t="s">
        <v>2910</v>
      </c>
      <c r="E853">
        <f t="shared" si="56"/>
        <v>224</v>
      </c>
      <c r="F853">
        <f t="shared" si="57"/>
        <v>213</v>
      </c>
      <c r="G853">
        <f t="shared" si="58"/>
        <v>222</v>
      </c>
    </row>
    <row r="854" spans="1:7" x14ac:dyDescent="0.15">
      <c r="A854" t="str">
        <f t="shared" si="55"/>
        <v>5185</v>
      </c>
      <c r="B854">
        <v>889</v>
      </c>
      <c r="C854" s="894" t="s">
        <v>2913</v>
      </c>
      <c r="D854" t="s">
        <v>2912</v>
      </c>
      <c r="E854">
        <f t="shared" si="56"/>
        <v>69</v>
      </c>
      <c r="F854">
        <f t="shared" si="57"/>
        <v>41</v>
      </c>
      <c r="G854">
        <f t="shared" si="58"/>
        <v>59</v>
      </c>
    </row>
    <row r="855" spans="1:7" x14ac:dyDescent="0.15">
      <c r="A855" t="str">
        <f t="shared" si="55"/>
        <v>5195</v>
      </c>
      <c r="B855">
        <v>890</v>
      </c>
      <c r="C855" s="895" t="s">
        <v>2915</v>
      </c>
      <c r="D855" t="s">
        <v>2914</v>
      </c>
      <c r="E855">
        <f t="shared" si="56"/>
        <v>94</v>
      </c>
      <c r="F855">
        <f t="shared" si="57"/>
        <v>58</v>
      </c>
      <c r="G855">
        <f t="shared" si="58"/>
        <v>81</v>
      </c>
    </row>
    <row r="856" spans="1:7" x14ac:dyDescent="0.15">
      <c r="A856" t="str">
        <f t="shared" si="55"/>
        <v>5205</v>
      </c>
      <c r="B856">
        <v>891</v>
      </c>
      <c r="C856" s="896" t="s">
        <v>2917</v>
      </c>
      <c r="D856" t="s">
        <v>2916</v>
      </c>
      <c r="E856">
        <f t="shared" si="56"/>
        <v>139</v>
      </c>
      <c r="F856">
        <f t="shared" si="57"/>
        <v>104</v>
      </c>
      <c r="G856">
        <f t="shared" si="58"/>
        <v>125</v>
      </c>
    </row>
    <row r="857" spans="1:7" x14ac:dyDescent="0.15">
      <c r="A857" t="str">
        <f t="shared" si="55"/>
        <v>5215</v>
      </c>
      <c r="B857">
        <v>892</v>
      </c>
      <c r="C857" s="897" t="s">
        <v>2919</v>
      </c>
      <c r="D857" t="s">
        <v>2918</v>
      </c>
      <c r="E857">
        <f t="shared" si="56"/>
        <v>177</v>
      </c>
      <c r="F857">
        <f t="shared" si="57"/>
        <v>149</v>
      </c>
      <c r="G857">
        <f t="shared" si="58"/>
        <v>166</v>
      </c>
    </row>
    <row r="858" spans="1:7" x14ac:dyDescent="0.15">
      <c r="A858" t="str">
        <f t="shared" si="55"/>
        <v>5225</v>
      </c>
      <c r="B858">
        <v>893</v>
      </c>
      <c r="C858" s="898" t="s">
        <v>2921</v>
      </c>
      <c r="D858" t="s">
        <v>2920</v>
      </c>
      <c r="E858">
        <f t="shared" si="56"/>
        <v>198</v>
      </c>
      <c r="F858">
        <f t="shared" si="57"/>
        <v>176</v>
      </c>
      <c r="G858">
        <f t="shared" si="58"/>
        <v>190</v>
      </c>
    </row>
    <row r="859" spans="1:7" x14ac:dyDescent="0.15">
      <c r="A859" t="str">
        <f t="shared" si="55"/>
        <v>5235</v>
      </c>
      <c r="B859">
        <v>894</v>
      </c>
      <c r="C859" s="899" t="s">
        <v>2923</v>
      </c>
      <c r="D859" t="s">
        <v>2922</v>
      </c>
      <c r="E859">
        <f t="shared" si="56"/>
        <v>212</v>
      </c>
      <c r="F859">
        <f t="shared" si="57"/>
        <v>196</v>
      </c>
      <c r="G859">
        <f t="shared" si="58"/>
        <v>206</v>
      </c>
    </row>
    <row r="860" spans="1:7" x14ac:dyDescent="0.15">
      <c r="A860" t="str">
        <f t="shared" si="55"/>
        <v>5245</v>
      </c>
      <c r="B860">
        <v>895</v>
      </c>
      <c r="C860" s="900" t="s">
        <v>2925</v>
      </c>
      <c r="D860" t="s">
        <v>2924</v>
      </c>
      <c r="E860">
        <f t="shared" si="56"/>
        <v>223</v>
      </c>
      <c r="F860">
        <f t="shared" si="57"/>
        <v>212</v>
      </c>
      <c r="G860">
        <f t="shared" si="58"/>
        <v>219</v>
      </c>
    </row>
    <row r="861" spans="1:7" x14ac:dyDescent="0.15">
      <c r="A861" t="str">
        <f t="shared" si="55"/>
        <v>5255</v>
      </c>
      <c r="B861">
        <v>896</v>
      </c>
      <c r="C861" s="901" t="s">
        <v>2927</v>
      </c>
      <c r="D861" t="s">
        <v>2926</v>
      </c>
      <c r="E861">
        <f t="shared" si="56"/>
        <v>42</v>
      </c>
      <c r="F861">
        <f t="shared" si="57"/>
        <v>37</v>
      </c>
      <c r="G861">
        <f t="shared" si="58"/>
        <v>75</v>
      </c>
    </row>
    <row r="862" spans="1:7" x14ac:dyDescent="0.15">
      <c r="A862" t="str">
        <f t="shared" si="55"/>
        <v>5265</v>
      </c>
      <c r="B862">
        <v>897</v>
      </c>
      <c r="C862" s="902" t="s">
        <v>2929</v>
      </c>
      <c r="D862" t="s">
        <v>2928</v>
      </c>
      <c r="E862">
        <f t="shared" si="56"/>
        <v>67</v>
      </c>
      <c r="F862">
        <f t="shared" si="57"/>
        <v>59</v>
      </c>
      <c r="G862">
        <f t="shared" si="58"/>
        <v>103</v>
      </c>
    </row>
    <row r="863" spans="1:7" x14ac:dyDescent="0.15">
      <c r="A863" t="str">
        <f t="shared" si="55"/>
        <v>5275</v>
      </c>
      <c r="B863">
        <v>898</v>
      </c>
      <c r="C863" s="903" t="s">
        <v>2931</v>
      </c>
      <c r="D863" t="s">
        <v>2930</v>
      </c>
      <c r="E863">
        <f t="shared" si="56"/>
        <v>87</v>
      </c>
      <c r="F863">
        <f t="shared" si="57"/>
        <v>82</v>
      </c>
      <c r="G863">
        <f t="shared" si="58"/>
        <v>126</v>
      </c>
    </row>
    <row r="864" spans="1:7" x14ac:dyDescent="0.15">
      <c r="A864" t="str">
        <f t="shared" si="55"/>
        <v>5285</v>
      </c>
      <c r="B864">
        <v>899</v>
      </c>
      <c r="C864" s="904" t="s">
        <v>2933</v>
      </c>
      <c r="D864" t="s">
        <v>2932</v>
      </c>
      <c r="E864">
        <f t="shared" si="56"/>
        <v>133</v>
      </c>
      <c r="F864">
        <f t="shared" si="57"/>
        <v>129</v>
      </c>
      <c r="G864">
        <f t="shared" si="58"/>
        <v>164</v>
      </c>
    </row>
    <row r="865" spans="1:7" x14ac:dyDescent="0.15">
      <c r="A865" t="str">
        <f t="shared" si="55"/>
        <v>5295</v>
      </c>
      <c r="B865">
        <v>900</v>
      </c>
      <c r="C865" s="905" t="s">
        <v>2935</v>
      </c>
      <c r="D865" t="s">
        <v>2934</v>
      </c>
      <c r="E865">
        <f t="shared" si="56"/>
        <v>170</v>
      </c>
      <c r="F865">
        <f t="shared" si="57"/>
        <v>167</v>
      </c>
      <c r="G865">
        <f t="shared" si="58"/>
        <v>193</v>
      </c>
    </row>
    <row r="866" spans="1:7" x14ac:dyDescent="0.15">
      <c r="A866" t="str">
        <f t="shared" si="55"/>
        <v>5305</v>
      </c>
      <c r="B866">
        <v>901</v>
      </c>
      <c r="C866" s="906" t="s">
        <v>2937</v>
      </c>
      <c r="D866" t="s">
        <v>2936</v>
      </c>
      <c r="E866">
        <f t="shared" si="56"/>
        <v>193</v>
      </c>
      <c r="F866">
        <f t="shared" si="57"/>
        <v>190</v>
      </c>
      <c r="G866">
        <f t="shared" si="58"/>
        <v>209</v>
      </c>
    </row>
    <row r="867" spans="1:7" x14ac:dyDescent="0.15">
      <c r="A867" t="str">
        <f t="shared" si="55"/>
        <v>5315</v>
      </c>
      <c r="B867">
        <v>902</v>
      </c>
      <c r="C867" s="907" t="s">
        <v>2939</v>
      </c>
      <c r="D867" t="s">
        <v>2938</v>
      </c>
      <c r="E867">
        <f t="shared" si="56"/>
        <v>212</v>
      </c>
      <c r="F867">
        <f t="shared" si="57"/>
        <v>212</v>
      </c>
      <c r="G867">
        <f t="shared" si="58"/>
        <v>224</v>
      </c>
    </row>
    <row r="868" spans="1:7" x14ac:dyDescent="0.15">
      <c r="A868" t="str">
        <f t="shared" si="55"/>
        <v>5395</v>
      </c>
      <c r="B868">
        <v>903</v>
      </c>
      <c r="C868" s="908" t="s">
        <v>2941</v>
      </c>
      <c r="D868" t="s">
        <v>2940</v>
      </c>
      <c r="E868">
        <f t="shared" si="56"/>
        <v>2</v>
      </c>
      <c r="F868">
        <f t="shared" si="57"/>
        <v>37</v>
      </c>
      <c r="G868">
        <f t="shared" si="58"/>
        <v>58</v>
      </c>
    </row>
    <row r="869" spans="1:7" x14ac:dyDescent="0.15">
      <c r="A869" t="str">
        <f t="shared" si="55"/>
        <v>5405</v>
      </c>
      <c r="B869">
        <v>904</v>
      </c>
      <c r="C869" s="909" t="s">
        <v>2943</v>
      </c>
      <c r="D869" t="s">
        <v>2942</v>
      </c>
      <c r="E869">
        <f t="shared" si="56"/>
        <v>62</v>
      </c>
      <c r="F869">
        <f t="shared" si="57"/>
        <v>100</v>
      </c>
      <c r="G869">
        <f t="shared" si="58"/>
        <v>126</v>
      </c>
    </row>
    <row r="870" spans="1:7" x14ac:dyDescent="0.15">
      <c r="A870" t="str">
        <f t="shared" si="55"/>
        <v>5415</v>
      </c>
      <c r="B870">
        <v>905</v>
      </c>
      <c r="C870" s="910" t="s">
        <v>2945</v>
      </c>
      <c r="D870" t="s">
        <v>2944</v>
      </c>
      <c r="E870">
        <f t="shared" si="56"/>
        <v>88</v>
      </c>
      <c r="F870">
        <f t="shared" si="57"/>
        <v>121</v>
      </c>
      <c r="G870">
        <f t="shared" si="58"/>
        <v>147</v>
      </c>
    </row>
    <row r="871" spans="1:7" x14ac:dyDescent="0.15">
      <c r="A871" t="str">
        <f t="shared" si="55"/>
        <v>5425</v>
      </c>
      <c r="B871">
        <v>906</v>
      </c>
      <c r="C871" s="911" t="s">
        <v>2947</v>
      </c>
      <c r="D871" t="s">
        <v>2946</v>
      </c>
      <c r="E871">
        <f t="shared" si="56"/>
        <v>124</v>
      </c>
      <c r="F871">
        <f t="shared" si="57"/>
        <v>152</v>
      </c>
      <c r="G871">
        <f t="shared" si="58"/>
        <v>174</v>
      </c>
    </row>
    <row r="872" spans="1:7" x14ac:dyDescent="0.15">
      <c r="A872" t="str">
        <f t="shared" si="55"/>
        <v>5435</v>
      </c>
      <c r="B872">
        <v>907</v>
      </c>
      <c r="C872" s="912" t="s">
        <v>2949</v>
      </c>
      <c r="D872" t="s">
        <v>2948</v>
      </c>
      <c r="E872">
        <f t="shared" si="56"/>
        <v>165</v>
      </c>
      <c r="F872">
        <f t="shared" si="57"/>
        <v>184</v>
      </c>
      <c r="G872">
        <f t="shared" si="58"/>
        <v>201</v>
      </c>
    </row>
    <row r="873" spans="1:7" x14ac:dyDescent="0.15">
      <c r="A873" t="str">
        <f t="shared" si="55"/>
        <v>5445</v>
      </c>
      <c r="B873">
        <v>908</v>
      </c>
      <c r="C873" s="913" t="s">
        <v>2951</v>
      </c>
      <c r="D873" t="s">
        <v>2950</v>
      </c>
      <c r="E873">
        <f t="shared" si="56"/>
        <v>188</v>
      </c>
      <c r="F873">
        <f t="shared" si="57"/>
        <v>202</v>
      </c>
      <c r="G873">
        <f t="shared" si="58"/>
        <v>214</v>
      </c>
    </row>
    <row r="874" spans="1:7" x14ac:dyDescent="0.15">
      <c r="A874" t="str">
        <f t="shared" si="55"/>
        <v>5455</v>
      </c>
      <c r="B874">
        <v>909</v>
      </c>
      <c r="C874" s="914" t="s">
        <v>2953</v>
      </c>
      <c r="D874" t="s">
        <v>2952</v>
      </c>
      <c r="E874">
        <f t="shared" si="56"/>
        <v>204</v>
      </c>
      <c r="F874">
        <f t="shared" si="57"/>
        <v>214</v>
      </c>
      <c r="G874">
        <f t="shared" si="58"/>
        <v>224</v>
      </c>
    </row>
    <row r="875" spans="1:7" x14ac:dyDescent="0.15">
      <c r="A875" t="str">
        <f t="shared" si="55"/>
        <v>5463</v>
      </c>
      <c r="B875">
        <v>911</v>
      </c>
      <c r="C875" s="915" t="s">
        <v>2955</v>
      </c>
      <c r="D875" t="s">
        <v>2954</v>
      </c>
      <c r="E875">
        <f t="shared" si="56"/>
        <v>0</v>
      </c>
      <c r="F875">
        <f t="shared" si="57"/>
        <v>40</v>
      </c>
      <c r="G875">
        <f t="shared" si="58"/>
        <v>48</v>
      </c>
    </row>
    <row r="876" spans="1:7" x14ac:dyDescent="0.15">
      <c r="A876" t="str">
        <f t="shared" si="55"/>
        <v>5467</v>
      </c>
      <c r="B876">
        <v>912</v>
      </c>
      <c r="C876" s="916" t="s">
        <v>2957</v>
      </c>
      <c r="D876" t="s">
        <v>2956</v>
      </c>
      <c r="E876">
        <f t="shared" si="56"/>
        <v>24</v>
      </c>
      <c r="F876">
        <f t="shared" si="57"/>
        <v>53</v>
      </c>
      <c r="G876">
        <f t="shared" si="58"/>
        <v>51</v>
      </c>
    </row>
    <row r="877" spans="1:7" x14ac:dyDescent="0.15">
      <c r="A877" t="str">
        <f t="shared" si="55"/>
        <v>5473</v>
      </c>
      <c r="B877">
        <v>913</v>
      </c>
      <c r="C877" s="917" t="s">
        <v>2959</v>
      </c>
      <c r="D877" t="s">
        <v>2958</v>
      </c>
      <c r="E877">
        <f t="shared" si="56"/>
        <v>0</v>
      </c>
      <c r="F877">
        <f t="shared" si="57"/>
        <v>98</v>
      </c>
      <c r="G877">
        <f t="shared" si="58"/>
        <v>110</v>
      </c>
    </row>
    <row r="878" spans="1:7" x14ac:dyDescent="0.15">
      <c r="A878" t="str">
        <f t="shared" si="55"/>
        <v>5477</v>
      </c>
      <c r="B878">
        <v>914</v>
      </c>
      <c r="C878" s="918" t="s">
        <v>2961</v>
      </c>
      <c r="D878" t="s">
        <v>2960</v>
      </c>
      <c r="E878">
        <f t="shared" si="56"/>
        <v>60</v>
      </c>
      <c r="F878">
        <f t="shared" si="57"/>
        <v>91</v>
      </c>
      <c r="G878">
        <f t="shared" si="58"/>
        <v>89</v>
      </c>
    </row>
    <row r="879" spans="1:7" x14ac:dyDescent="0.15">
      <c r="A879" t="str">
        <f t="shared" si="55"/>
        <v>5483</v>
      </c>
      <c r="B879">
        <v>915</v>
      </c>
      <c r="C879" s="919" t="s">
        <v>2963</v>
      </c>
      <c r="D879" t="s">
        <v>2962</v>
      </c>
      <c r="E879">
        <f t="shared" si="56"/>
        <v>79</v>
      </c>
      <c r="F879">
        <f t="shared" si="57"/>
        <v>141</v>
      </c>
      <c r="G879">
        <f t="shared" si="58"/>
        <v>151</v>
      </c>
    </row>
    <row r="880" spans="1:7" x14ac:dyDescent="0.15">
      <c r="A880" t="str">
        <f t="shared" si="55"/>
        <v>5487</v>
      </c>
      <c r="B880">
        <v>916</v>
      </c>
      <c r="C880" s="920" t="s">
        <v>2965</v>
      </c>
      <c r="D880" t="s">
        <v>2964</v>
      </c>
      <c r="E880">
        <f t="shared" si="56"/>
        <v>98</v>
      </c>
      <c r="F880">
        <f t="shared" si="57"/>
        <v>125</v>
      </c>
      <c r="G880">
        <f t="shared" si="58"/>
        <v>124</v>
      </c>
    </row>
    <row r="881" spans="1:7" x14ac:dyDescent="0.15">
      <c r="A881" t="str">
        <f t="shared" si="55"/>
        <v>5493</v>
      </c>
      <c r="B881">
        <v>917</v>
      </c>
      <c r="C881" s="921" t="s">
        <v>2967</v>
      </c>
      <c r="D881" t="s">
        <v>2966</v>
      </c>
      <c r="E881">
        <f t="shared" si="56"/>
        <v>129</v>
      </c>
      <c r="F881">
        <f t="shared" si="57"/>
        <v>173</v>
      </c>
      <c r="G881">
        <f t="shared" si="58"/>
        <v>181</v>
      </c>
    </row>
    <row r="882" spans="1:7" x14ac:dyDescent="0.15">
      <c r="A882" t="str">
        <f t="shared" si="55"/>
        <v>5497</v>
      </c>
      <c r="B882">
        <v>918</v>
      </c>
      <c r="C882" s="922" t="s">
        <v>2969</v>
      </c>
      <c r="D882" t="s">
        <v>2968</v>
      </c>
      <c r="E882">
        <f t="shared" si="56"/>
        <v>141</v>
      </c>
      <c r="F882">
        <f t="shared" si="57"/>
        <v>160</v>
      </c>
      <c r="G882">
        <f t="shared" si="58"/>
        <v>159</v>
      </c>
    </row>
    <row r="883" spans="1:7" x14ac:dyDescent="0.15">
      <c r="A883" t="str">
        <f t="shared" si="55"/>
        <v>5503</v>
      </c>
      <c r="B883">
        <v>919</v>
      </c>
      <c r="C883" s="923" t="s">
        <v>2971</v>
      </c>
      <c r="D883" t="s">
        <v>2970</v>
      </c>
      <c r="E883">
        <f t="shared" si="56"/>
        <v>161</v>
      </c>
      <c r="F883">
        <f t="shared" si="57"/>
        <v>195</v>
      </c>
      <c r="G883">
        <f t="shared" si="58"/>
        <v>201</v>
      </c>
    </row>
    <row r="884" spans="1:7" x14ac:dyDescent="0.15">
      <c r="A884" t="str">
        <f t="shared" si="55"/>
        <v>5507</v>
      </c>
      <c r="B884">
        <v>920</v>
      </c>
      <c r="C884" s="924" t="s">
        <v>2973</v>
      </c>
      <c r="D884" t="s">
        <v>2972</v>
      </c>
      <c r="E884">
        <f t="shared" si="56"/>
        <v>170</v>
      </c>
      <c r="F884">
        <f t="shared" si="57"/>
        <v>184</v>
      </c>
      <c r="G884">
        <f t="shared" si="58"/>
        <v>185</v>
      </c>
    </row>
    <row r="885" spans="1:7" x14ac:dyDescent="0.15">
      <c r="A885" t="str">
        <f t="shared" si="55"/>
        <v>5513</v>
      </c>
      <c r="B885">
        <v>921</v>
      </c>
      <c r="C885" s="925" t="s">
        <v>2975</v>
      </c>
      <c r="D885" t="s">
        <v>2974</v>
      </c>
      <c r="E885">
        <f t="shared" si="56"/>
        <v>190</v>
      </c>
      <c r="F885">
        <f t="shared" si="57"/>
        <v>213</v>
      </c>
      <c r="G885">
        <f t="shared" si="58"/>
        <v>217</v>
      </c>
    </row>
    <row r="886" spans="1:7" x14ac:dyDescent="0.15">
      <c r="A886" t="str">
        <f t="shared" si="55"/>
        <v>5517</v>
      </c>
      <c r="B886">
        <v>922</v>
      </c>
      <c r="C886" s="926" t="s">
        <v>2977</v>
      </c>
      <c r="D886" t="s">
        <v>2976</v>
      </c>
      <c r="E886">
        <f t="shared" si="56"/>
        <v>191</v>
      </c>
      <c r="F886">
        <f t="shared" si="57"/>
        <v>203</v>
      </c>
      <c r="G886">
        <f t="shared" si="58"/>
        <v>204</v>
      </c>
    </row>
    <row r="887" spans="1:7" x14ac:dyDescent="0.15">
      <c r="A887" t="str">
        <f t="shared" si="55"/>
        <v>5523</v>
      </c>
      <c r="B887">
        <v>923</v>
      </c>
      <c r="C887" s="927" t="s">
        <v>2979</v>
      </c>
      <c r="D887" t="s">
        <v>2978</v>
      </c>
      <c r="E887">
        <f t="shared" si="56"/>
        <v>207</v>
      </c>
      <c r="F887">
        <f t="shared" si="57"/>
        <v>222</v>
      </c>
      <c r="G887">
        <f t="shared" si="58"/>
        <v>225</v>
      </c>
    </row>
    <row r="888" spans="1:7" x14ac:dyDescent="0.15">
      <c r="A888" t="str">
        <f t="shared" si="55"/>
        <v>5527</v>
      </c>
      <c r="B888">
        <v>924</v>
      </c>
      <c r="C888" s="928" t="s">
        <v>2981</v>
      </c>
      <c r="D888" t="s">
        <v>2980</v>
      </c>
      <c r="E888">
        <f t="shared" si="56"/>
        <v>204</v>
      </c>
      <c r="F888">
        <f t="shared" si="57"/>
        <v>212</v>
      </c>
      <c r="G888">
        <f t="shared" si="58"/>
        <v>212</v>
      </c>
    </row>
    <row r="889" spans="1:7" x14ac:dyDescent="0.15">
      <c r="A889" t="str">
        <f t="shared" si="55"/>
        <v>5535</v>
      </c>
      <c r="B889">
        <v>925</v>
      </c>
      <c r="C889" s="929" t="s">
        <v>2983</v>
      </c>
      <c r="D889" t="s">
        <v>2982</v>
      </c>
      <c r="E889">
        <f t="shared" si="56"/>
        <v>27</v>
      </c>
      <c r="F889">
        <f t="shared" si="57"/>
        <v>57</v>
      </c>
      <c r="G889">
        <f t="shared" si="58"/>
        <v>48</v>
      </c>
    </row>
    <row r="890" spans="1:7" x14ac:dyDescent="0.15">
      <c r="A890" t="str">
        <f t="shared" si="55"/>
        <v>5545</v>
      </c>
      <c r="B890">
        <v>926</v>
      </c>
      <c r="C890" s="930" t="s">
        <v>2985</v>
      </c>
      <c r="D890" t="s">
        <v>2984</v>
      </c>
      <c r="E890">
        <f t="shared" si="56"/>
        <v>74</v>
      </c>
      <c r="F890">
        <f t="shared" si="57"/>
        <v>109</v>
      </c>
      <c r="G890">
        <f t="shared" si="58"/>
        <v>98</v>
      </c>
    </row>
    <row r="891" spans="1:7" x14ac:dyDescent="0.15">
      <c r="A891" t="str">
        <f t="shared" si="55"/>
        <v>5555</v>
      </c>
      <c r="B891">
        <v>927</v>
      </c>
      <c r="C891" s="931" t="s">
        <v>2987</v>
      </c>
      <c r="D891" t="s">
        <v>2986</v>
      </c>
      <c r="E891">
        <f t="shared" si="56"/>
        <v>110</v>
      </c>
      <c r="F891">
        <f t="shared" si="57"/>
        <v>141</v>
      </c>
      <c r="G891">
        <f t="shared" si="58"/>
        <v>130</v>
      </c>
    </row>
    <row r="892" spans="1:7" x14ac:dyDescent="0.15">
      <c r="A892" t="str">
        <f t="shared" si="55"/>
        <v>5565</v>
      </c>
      <c r="B892">
        <v>928</v>
      </c>
      <c r="C892" s="932" t="s">
        <v>2989</v>
      </c>
      <c r="D892" t="s">
        <v>2988</v>
      </c>
      <c r="E892">
        <f t="shared" si="56"/>
        <v>143</v>
      </c>
      <c r="F892">
        <f t="shared" si="57"/>
        <v>168</v>
      </c>
      <c r="G892">
        <f t="shared" si="58"/>
        <v>160</v>
      </c>
    </row>
    <row r="893" spans="1:7" x14ac:dyDescent="0.15">
      <c r="A893" t="str">
        <f t="shared" si="55"/>
        <v>5575</v>
      </c>
      <c r="B893">
        <v>929</v>
      </c>
      <c r="C893" s="933" t="s">
        <v>2991</v>
      </c>
      <c r="D893" t="s">
        <v>2990</v>
      </c>
      <c r="E893">
        <f t="shared" si="56"/>
        <v>169</v>
      </c>
      <c r="F893">
        <f t="shared" si="57"/>
        <v>189</v>
      </c>
      <c r="G893">
        <f t="shared" si="58"/>
        <v>182</v>
      </c>
    </row>
    <row r="894" spans="1:7" x14ac:dyDescent="0.15">
      <c r="A894" t="str">
        <f t="shared" si="55"/>
        <v>5585</v>
      </c>
      <c r="B894">
        <v>930</v>
      </c>
      <c r="C894" s="511" t="s">
        <v>2145</v>
      </c>
      <c r="D894" t="s">
        <v>2992</v>
      </c>
      <c r="E894">
        <f t="shared" si="56"/>
        <v>172</v>
      </c>
      <c r="F894">
        <f t="shared" si="57"/>
        <v>199</v>
      </c>
      <c r="G894">
        <f t="shared" si="58"/>
        <v>189</v>
      </c>
    </row>
    <row r="895" spans="1:7" x14ac:dyDescent="0.15">
      <c r="A895" t="str">
        <f t="shared" si="55"/>
        <v>5595</v>
      </c>
      <c r="B895">
        <v>931</v>
      </c>
      <c r="C895" s="934" t="s">
        <v>2994</v>
      </c>
      <c r="D895" t="s">
        <v>2993</v>
      </c>
      <c r="E895">
        <f t="shared" si="56"/>
        <v>211</v>
      </c>
      <c r="F895">
        <f t="shared" si="57"/>
        <v>222</v>
      </c>
      <c r="G895">
        <f t="shared" si="58"/>
        <v>219</v>
      </c>
    </row>
    <row r="896" spans="1:7" x14ac:dyDescent="0.15">
      <c r="A896" t="str">
        <f t="shared" si="55"/>
        <v>5605</v>
      </c>
      <c r="B896">
        <v>933</v>
      </c>
      <c r="C896" s="935" t="s">
        <v>2996</v>
      </c>
      <c r="D896" t="s">
        <v>2995</v>
      </c>
      <c r="E896">
        <f t="shared" si="56"/>
        <v>25</v>
      </c>
      <c r="F896">
        <f t="shared" si="57"/>
        <v>48</v>
      </c>
      <c r="G896">
        <f t="shared" si="58"/>
        <v>37</v>
      </c>
    </row>
    <row r="897" spans="1:7" x14ac:dyDescent="0.15">
      <c r="A897" t="str">
        <f t="shared" si="55"/>
        <v>5615</v>
      </c>
      <c r="B897">
        <v>934</v>
      </c>
      <c r="C897" s="936" t="s">
        <v>2998</v>
      </c>
      <c r="D897" t="s">
        <v>2997</v>
      </c>
      <c r="E897">
        <f t="shared" si="56"/>
        <v>90</v>
      </c>
      <c r="F897">
        <f t="shared" si="57"/>
        <v>112</v>
      </c>
      <c r="G897">
        <f t="shared" si="58"/>
        <v>96</v>
      </c>
    </row>
    <row r="898" spans="1:7" x14ac:dyDescent="0.15">
      <c r="A898" t="str">
        <f t="shared" si="55"/>
        <v>5625</v>
      </c>
      <c r="B898">
        <v>935</v>
      </c>
      <c r="C898" s="937" t="s">
        <v>3000</v>
      </c>
      <c r="D898" t="s">
        <v>2999</v>
      </c>
      <c r="E898">
        <f t="shared" si="56"/>
        <v>108</v>
      </c>
      <c r="F898">
        <f t="shared" si="57"/>
        <v>128</v>
      </c>
      <c r="G898">
        <f t="shared" si="58"/>
        <v>114</v>
      </c>
    </row>
    <row r="899" spans="1:7" x14ac:dyDescent="0.15">
      <c r="A899" t="str">
        <f t="shared" ref="A899:A951" si="59">LEFT(D899,LEN(D899)-1)</f>
        <v>5635</v>
      </c>
      <c r="B899">
        <v>936</v>
      </c>
      <c r="C899" s="938" t="s">
        <v>3002</v>
      </c>
      <c r="D899" t="s">
        <v>3001</v>
      </c>
      <c r="E899">
        <f t="shared" si="56"/>
        <v>151</v>
      </c>
      <c r="F899">
        <f t="shared" si="57"/>
        <v>166</v>
      </c>
      <c r="G899">
        <f t="shared" si="58"/>
        <v>155</v>
      </c>
    </row>
    <row r="900" spans="1:7" x14ac:dyDescent="0.15">
      <c r="A900" t="str">
        <f t="shared" si="59"/>
        <v>5645</v>
      </c>
      <c r="B900">
        <v>937</v>
      </c>
      <c r="C900" s="939" t="s">
        <v>3004</v>
      </c>
      <c r="D900" t="s">
        <v>3003</v>
      </c>
      <c r="E900">
        <f t="shared" si="56"/>
        <v>177</v>
      </c>
      <c r="F900">
        <f t="shared" si="57"/>
        <v>188</v>
      </c>
      <c r="G900">
        <f t="shared" si="58"/>
        <v>181</v>
      </c>
    </row>
    <row r="901" spans="1:7" x14ac:dyDescent="0.15">
      <c r="A901" t="str">
        <f t="shared" si="59"/>
        <v>5655</v>
      </c>
      <c r="B901">
        <v>938</v>
      </c>
      <c r="C901" s="940" t="s">
        <v>3006</v>
      </c>
      <c r="D901" t="s">
        <v>3005</v>
      </c>
      <c r="E901">
        <f t="shared" si="56"/>
        <v>189</v>
      </c>
      <c r="F901">
        <f t="shared" si="57"/>
        <v>197</v>
      </c>
      <c r="G901">
        <f t="shared" si="58"/>
        <v>191</v>
      </c>
    </row>
    <row r="902" spans="1:7" x14ac:dyDescent="0.15">
      <c r="A902" t="str">
        <f t="shared" si="59"/>
        <v>5665</v>
      </c>
      <c r="B902">
        <v>939</v>
      </c>
      <c r="C902" s="49" t="s">
        <v>3008</v>
      </c>
      <c r="D902" t="s">
        <v>3007</v>
      </c>
      <c r="E902">
        <f t="shared" ref="E902:E951" si="60">HEX2DEC(MID(C902,2,2))</f>
        <v>205</v>
      </c>
      <c r="F902">
        <f t="shared" ref="F902:F951" si="61">HEX2DEC(MID(C902,4,2))</f>
        <v>211</v>
      </c>
      <c r="G902">
        <f t="shared" ref="G902:G951" si="62">HEX2DEC(MID(C902,6,2))</f>
        <v>205</v>
      </c>
    </row>
    <row r="903" spans="1:7" x14ac:dyDescent="0.15">
      <c r="A903" t="str">
        <f t="shared" si="59"/>
        <v>5743</v>
      </c>
      <c r="B903">
        <v>940</v>
      </c>
      <c r="C903" s="941" t="s">
        <v>3010</v>
      </c>
      <c r="D903" t="s">
        <v>3009</v>
      </c>
      <c r="E903">
        <f t="shared" si="60"/>
        <v>62</v>
      </c>
      <c r="F903">
        <f t="shared" si="61"/>
        <v>71</v>
      </c>
      <c r="G903">
        <f t="shared" si="62"/>
        <v>35</v>
      </c>
    </row>
    <row r="904" spans="1:7" x14ac:dyDescent="0.15">
      <c r="A904" t="str">
        <f t="shared" si="59"/>
        <v>5747</v>
      </c>
      <c r="B904">
        <v>941</v>
      </c>
      <c r="C904" s="942" t="s">
        <v>3012</v>
      </c>
      <c r="D904" t="s">
        <v>3011</v>
      </c>
      <c r="E904">
        <f t="shared" si="60"/>
        <v>64</v>
      </c>
      <c r="F904">
        <f t="shared" si="61"/>
        <v>70</v>
      </c>
      <c r="G904">
        <f t="shared" si="62"/>
        <v>22</v>
      </c>
    </row>
    <row r="905" spans="1:7" x14ac:dyDescent="0.15">
      <c r="A905" t="str">
        <f t="shared" si="59"/>
        <v>5753</v>
      </c>
      <c r="B905">
        <v>942</v>
      </c>
      <c r="C905" s="943" t="s">
        <v>3014</v>
      </c>
      <c r="D905" t="s">
        <v>3013</v>
      </c>
      <c r="E905">
        <f t="shared" si="60"/>
        <v>94</v>
      </c>
      <c r="F905">
        <f t="shared" si="61"/>
        <v>102</v>
      </c>
      <c r="G905">
        <f t="shared" si="62"/>
        <v>57</v>
      </c>
    </row>
    <row r="906" spans="1:7" x14ac:dyDescent="0.15">
      <c r="A906" t="str">
        <f t="shared" si="59"/>
        <v>5757</v>
      </c>
      <c r="B906">
        <v>943</v>
      </c>
      <c r="C906" s="944" t="s">
        <v>3016</v>
      </c>
      <c r="D906" t="s">
        <v>3015</v>
      </c>
      <c r="E906">
        <f t="shared" si="60"/>
        <v>111</v>
      </c>
      <c r="F906">
        <f t="shared" si="61"/>
        <v>115</v>
      </c>
      <c r="G906">
        <f t="shared" si="62"/>
        <v>45</v>
      </c>
    </row>
    <row r="907" spans="1:7" x14ac:dyDescent="0.15">
      <c r="A907" t="str">
        <f t="shared" si="59"/>
        <v>5763</v>
      </c>
      <c r="B907">
        <v>944</v>
      </c>
      <c r="C907" s="945" t="s">
        <v>3018</v>
      </c>
      <c r="D907" t="s">
        <v>3017</v>
      </c>
      <c r="E907">
        <f t="shared" si="60"/>
        <v>110</v>
      </c>
      <c r="F907">
        <f t="shared" si="61"/>
        <v>118</v>
      </c>
      <c r="G907">
        <f t="shared" si="62"/>
        <v>73</v>
      </c>
    </row>
    <row r="908" spans="1:7" x14ac:dyDescent="0.15">
      <c r="A908" t="str">
        <f t="shared" si="59"/>
        <v>5767</v>
      </c>
      <c r="B908">
        <v>945</v>
      </c>
      <c r="C908" s="946" t="s">
        <v>3020</v>
      </c>
      <c r="D908" t="s">
        <v>3019</v>
      </c>
      <c r="E908">
        <f t="shared" si="60"/>
        <v>141</v>
      </c>
      <c r="F908">
        <f t="shared" si="61"/>
        <v>145</v>
      </c>
      <c r="G908">
        <f t="shared" si="62"/>
        <v>80</v>
      </c>
    </row>
    <row r="909" spans="1:7" x14ac:dyDescent="0.15">
      <c r="A909" t="str">
        <f t="shared" si="59"/>
        <v>5773</v>
      </c>
      <c r="B909">
        <v>946</v>
      </c>
      <c r="C909" s="947" t="s">
        <v>3022</v>
      </c>
      <c r="D909" t="s">
        <v>3021</v>
      </c>
      <c r="E909">
        <f t="shared" si="60"/>
        <v>147</v>
      </c>
      <c r="F909">
        <f t="shared" si="61"/>
        <v>152</v>
      </c>
      <c r="G909">
        <f t="shared" si="62"/>
        <v>113</v>
      </c>
    </row>
    <row r="910" spans="1:7" x14ac:dyDescent="0.15">
      <c r="A910" t="str">
        <f t="shared" si="59"/>
        <v>5777</v>
      </c>
      <c r="B910">
        <v>947</v>
      </c>
      <c r="C910" s="948" t="s">
        <v>3024</v>
      </c>
      <c r="D910" t="s">
        <v>3023</v>
      </c>
      <c r="E910">
        <f t="shared" si="60"/>
        <v>167</v>
      </c>
      <c r="F910">
        <f t="shared" si="61"/>
        <v>171</v>
      </c>
      <c r="G910">
        <f t="shared" si="62"/>
        <v>116</v>
      </c>
    </row>
    <row r="911" spans="1:7" x14ac:dyDescent="0.15">
      <c r="A911" t="str">
        <f t="shared" si="59"/>
        <v>5783</v>
      </c>
      <c r="B911">
        <v>948</v>
      </c>
      <c r="C911" s="949" t="s">
        <v>3026</v>
      </c>
      <c r="D911" t="s">
        <v>3025</v>
      </c>
      <c r="E911">
        <f t="shared" si="60"/>
        <v>173</v>
      </c>
      <c r="F911">
        <f t="shared" si="61"/>
        <v>178</v>
      </c>
      <c r="G911">
        <f t="shared" si="62"/>
        <v>145</v>
      </c>
    </row>
    <row r="912" spans="1:7" x14ac:dyDescent="0.15">
      <c r="A912" t="str">
        <f t="shared" si="59"/>
        <v>5787</v>
      </c>
      <c r="B912">
        <v>949</v>
      </c>
      <c r="C912" s="950" t="s">
        <v>3028</v>
      </c>
      <c r="D912" t="s">
        <v>3027</v>
      </c>
      <c r="E912">
        <f t="shared" si="60"/>
        <v>193</v>
      </c>
      <c r="F912">
        <f t="shared" si="61"/>
        <v>196</v>
      </c>
      <c r="G912">
        <f t="shared" si="62"/>
        <v>154</v>
      </c>
    </row>
    <row r="913" spans="1:7" x14ac:dyDescent="0.15">
      <c r="A913" t="str">
        <f t="shared" si="59"/>
        <v>5793</v>
      </c>
      <c r="B913">
        <v>950</v>
      </c>
      <c r="C913" s="951" t="s">
        <v>3030</v>
      </c>
      <c r="D913" t="s">
        <v>3029</v>
      </c>
      <c r="E913">
        <f t="shared" si="60"/>
        <v>189</v>
      </c>
      <c r="F913">
        <f t="shared" si="61"/>
        <v>194</v>
      </c>
      <c r="G913">
        <f t="shared" si="62"/>
        <v>169</v>
      </c>
    </row>
    <row r="914" spans="1:7" x14ac:dyDescent="0.15">
      <c r="A914" t="str">
        <f t="shared" si="59"/>
        <v>5797</v>
      </c>
      <c r="B914">
        <v>951</v>
      </c>
      <c r="C914" s="952" t="s">
        <v>3032</v>
      </c>
      <c r="D914" t="s">
        <v>3031</v>
      </c>
      <c r="E914">
        <f t="shared" si="60"/>
        <v>206</v>
      </c>
      <c r="F914">
        <f t="shared" si="61"/>
        <v>209</v>
      </c>
      <c r="G914">
        <f t="shared" si="62"/>
        <v>179</v>
      </c>
    </row>
    <row r="915" spans="1:7" x14ac:dyDescent="0.15">
      <c r="A915" t="str">
        <f t="shared" si="59"/>
        <v>5803</v>
      </c>
      <c r="B915">
        <v>952</v>
      </c>
      <c r="C915" s="953" t="s">
        <v>3034</v>
      </c>
      <c r="D915" t="s">
        <v>3033</v>
      </c>
      <c r="E915">
        <f t="shared" si="60"/>
        <v>206</v>
      </c>
      <c r="F915">
        <f t="shared" si="61"/>
        <v>210</v>
      </c>
      <c r="G915">
        <f t="shared" si="62"/>
        <v>191</v>
      </c>
    </row>
    <row r="916" spans="1:7" x14ac:dyDescent="0.15">
      <c r="A916" t="str">
        <f t="shared" si="59"/>
        <v>5807</v>
      </c>
      <c r="B916">
        <v>953</v>
      </c>
      <c r="C916" s="954" t="s">
        <v>3036</v>
      </c>
      <c r="D916" t="s">
        <v>3035</v>
      </c>
      <c r="E916">
        <f t="shared" si="60"/>
        <v>217</v>
      </c>
      <c r="F916">
        <f t="shared" si="61"/>
        <v>220</v>
      </c>
      <c r="G916">
        <f t="shared" si="62"/>
        <v>197</v>
      </c>
    </row>
    <row r="917" spans="1:7" x14ac:dyDescent="0.15">
      <c r="A917" t="str">
        <f t="shared" si="59"/>
        <v>5815</v>
      </c>
      <c r="B917">
        <v>955</v>
      </c>
      <c r="C917" s="955" t="s">
        <v>3038</v>
      </c>
      <c r="D917" t="s">
        <v>3037</v>
      </c>
      <c r="E917">
        <f t="shared" si="60"/>
        <v>75</v>
      </c>
      <c r="F917">
        <f t="shared" si="61"/>
        <v>69</v>
      </c>
      <c r="G917">
        <f t="shared" si="62"/>
        <v>22</v>
      </c>
    </row>
    <row r="918" spans="1:7" x14ac:dyDescent="0.15">
      <c r="A918" t="str">
        <f t="shared" si="59"/>
        <v>5825</v>
      </c>
      <c r="B918">
        <v>956</v>
      </c>
      <c r="C918" s="956" t="s">
        <v>3040</v>
      </c>
      <c r="D918" t="s">
        <v>3039</v>
      </c>
      <c r="E918">
        <f t="shared" si="60"/>
        <v>125</v>
      </c>
      <c r="F918">
        <f t="shared" si="61"/>
        <v>118</v>
      </c>
      <c r="G918">
        <f t="shared" si="62"/>
        <v>47</v>
      </c>
    </row>
    <row r="919" spans="1:7" x14ac:dyDescent="0.15">
      <c r="A919" t="str">
        <f t="shared" si="59"/>
        <v>5835</v>
      </c>
      <c r="B919">
        <v>957</v>
      </c>
      <c r="C919" s="957" t="s">
        <v>3042</v>
      </c>
      <c r="D919" t="s">
        <v>3041</v>
      </c>
      <c r="E919">
        <f t="shared" si="60"/>
        <v>157</v>
      </c>
      <c r="F919">
        <f t="shared" si="61"/>
        <v>151</v>
      </c>
      <c r="G919">
        <f t="shared" si="62"/>
        <v>84</v>
      </c>
    </row>
    <row r="920" spans="1:7" x14ac:dyDescent="0.15">
      <c r="A920" t="str">
        <f t="shared" si="59"/>
        <v>5845</v>
      </c>
      <c r="B920">
        <v>958</v>
      </c>
      <c r="C920" s="958" t="s">
        <v>3044</v>
      </c>
      <c r="D920" t="s">
        <v>3043</v>
      </c>
      <c r="E920">
        <f t="shared" si="60"/>
        <v>173</v>
      </c>
      <c r="F920">
        <f t="shared" si="61"/>
        <v>168</v>
      </c>
      <c r="G920">
        <f t="shared" si="62"/>
        <v>107</v>
      </c>
    </row>
    <row r="921" spans="1:7" x14ac:dyDescent="0.15">
      <c r="A921" t="str">
        <f t="shared" si="59"/>
        <v>5855</v>
      </c>
      <c r="B921">
        <v>959</v>
      </c>
      <c r="C921" s="959" t="s">
        <v>3046</v>
      </c>
      <c r="D921" t="s">
        <v>3045</v>
      </c>
      <c r="E921">
        <f t="shared" si="60"/>
        <v>199</v>
      </c>
      <c r="F921">
        <f t="shared" si="61"/>
        <v>195</v>
      </c>
      <c r="G921">
        <f t="shared" si="62"/>
        <v>151</v>
      </c>
    </row>
    <row r="922" spans="1:7" x14ac:dyDescent="0.15">
      <c r="A922" t="str">
        <f t="shared" si="59"/>
        <v>5865</v>
      </c>
      <c r="B922">
        <v>960</v>
      </c>
      <c r="C922" s="960" t="s">
        <v>3048</v>
      </c>
      <c r="D922" t="s">
        <v>3047</v>
      </c>
      <c r="E922">
        <f t="shared" si="60"/>
        <v>211</v>
      </c>
      <c r="F922">
        <f t="shared" si="61"/>
        <v>207</v>
      </c>
      <c r="G922">
        <f t="shared" si="62"/>
        <v>172</v>
      </c>
    </row>
    <row r="923" spans="1:7" x14ac:dyDescent="0.15">
      <c r="A923" t="str">
        <f t="shared" si="59"/>
        <v>5875</v>
      </c>
      <c r="B923">
        <v>961</v>
      </c>
      <c r="C923" s="961" t="s">
        <v>3050</v>
      </c>
      <c r="D923" t="s">
        <v>3049</v>
      </c>
      <c r="E923">
        <f t="shared" si="60"/>
        <v>217</v>
      </c>
      <c r="F923">
        <f t="shared" si="61"/>
        <v>215</v>
      </c>
      <c r="G923">
        <f t="shared" si="62"/>
        <v>185</v>
      </c>
    </row>
    <row r="924" spans="1:7" x14ac:dyDescent="0.15">
      <c r="A924" t="str">
        <f t="shared" si="59"/>
        <v xml:space="preserve">Black 2 </v>
      </c>
      <c r="B924">
        <v>962</v>
      </c>
      <c r="C924" s="962" t="s">
        <v>3052</v>
      </c>
      <c r="D924" t="s">
        <v>3051</v>
      </c>
      <c r="E924">
        <f t="shared" si="60"/>
        <v>58</v>
      </c>
      <c r="F924">
        <f t="shared" si="61"/>
        <v>51</v>
      </c>
      <c r="G924">
        <f t="shared" si="62"/>
        <v>33</v>
      </c>
    </row>
    <row r="925" spans="1:7" x14ac:dyDescent="0.15">
      <c r="A925" t="str">
        <f t="shared" si="59"/>
        <v xml:space="preserve">Black 3 </v>
      </c>
      <c r="B925">
        <v>963</v>
      </c>
      <c r="C925" s="963" t="s">
        <v>3054</v>
      </c>
      <c r="D925" t="s">
        <v>3053</v>
      </c>
      <c r="E925">
        <f t="shared" si="60"/>
        <v>40</v>
      </c>
      <c r="F925">
        <f t="shared" si="61"/>
        <v>45</v>
      </c>
      <c r="G925">
        <f t="shared" si="62"/>
        <v>38</v>
      </c>
    </row>
    <row r="926" spans="1:7" x14ac:dyDescent="0.15">
      <c r="A926" t="str">
        <f t="shared" si="59"/>
        <v xml:space="preserve">Black 4 </v>
      </c>
      <c r="B926">
        <v>964</v>
      </c>
      <c r="C926" s="964" t="s">
        <v>3056</v>
      </c>
      <c r="D926" t="s">
        <v>3055</v>
      </c>
      <c r="E926">
        <f t="shared" si="60"/>
        <v>61</v>
      </c>
      <c r="F926">
        <f t="shared" si="61"/>
        <v>48</v>
      </c>
      <c r="G926">
        <f t="shared" si="62"/>
        <v>35</v>
      </c>
    </row>
    <row r="927" spans="1:7" x14ac:dyDescent="0.15">
      <c r="A927" t="str">
        <f t="shared" si="59"/>
        <v xml:space="preserve">Black 5 </v>
      </c>
      <c r="B927">
        <v>965</v>
      </c>
      <c r="C927" s="965" t="s">
        <v>3058</v>
      </c>
      <c r="D927" t="s">
        <v>3057</v>
      </c>
      <c r="E927">
        <f t="shared" si="60"/>
        <v>66</v>
      </c>
      <c r="F927">
        <f t="shared" si="61"/>
        <v>45</v>
      </c>
      <c r="G927">
        <f t="shared" si="62"/>
        <v>45</v>
      </c>
    </row>
    <row r="928" spans="1:7" x14ac:dyDescent="0.15">
      <c r="A928" t="str">
        <f t="shared" si="59"/>
        <v xml:space="preserve">Black 6 </v>
      </c>
      <c r="B928">
        <v>966</v>
      </c>
      <c r="C928" s="966" t="s">
        <v>3060</v>
      </c>
      <c r="D928" t="s">
        <v>3059</v>
      </c>
      <c r="E928">
        <f t="shared" si="60"/>
        <v>28</v>
      </c>
      <c r="F928">
        <f t="shared" si="61"/>
        <v>38</v>
      </c>
      <c r="G928">
        <f t="shared" si="62"/>
        <v>48</v>
      </c>
    </row>
    <row r="929" spans="1:7" x14ac:dyDescent="0.15">
      <c r="A929" t="str">
        <f t="shared" si="59"/>
        <v xml:space="preserve">Black 7 </v>
      </c>
      <c r="B929">
        <v>967</v>
      </c>
      <c r="C929" s="967" t="s">
        <v>3062</v>
      </c>
      <c r="D929" t="s">
        <v>3061</v>
      </c>
      <c r="E929">
        <f t="shared" si="60"/>
        <v>68</v>
      </c>
      <c r="F929">
        <f t="shared" si="61"/>
        <v>61</v>
      </c>
      <c r="G929">
        <f t="shared" si="62"/>
        <v>56</v>
      </c>
    </row>
    <row r="930" spans="1:7" x14ac:dyDescent="0.15">
      <c r="A930" t="str">
        <f t="shared" si="59"/>
        <v xml:space="preserve">Cool Gray 1 </v>
      </c>
      <c r="B930">
        <v>968</v>
      </c>
      <c r="C930" s="968" t="s">
        <v>3064</v>
      </c>
      <c r="D930" t="s">
        <v>3063</v>
      </c>
      <c r="E930">
        <f t="shared" si="60"/>
        <v>232</v>
      </c>
      <c r="F930">
        <f t="shared" si="61"/>
        <v>226</v>
      </c>
      <c r="G930">
        <f t="shared" si="62"/>
        <v>214</v>
      </c>
    </row>
    <row r="931" spans="1:7" x14ac:dyDescent="0.15">
      <c r="A931" t="str">
        <f t="shared" si="59"/>
        <v xml:space="preserve">Cool Gray 2 </v>
      </c>
      <c r="B931">
        <v>969</v>
      </c>
      <c r="C931" s="969" t="s">
        <v>3066</v>
      </c>
      <c r="D931" t="s">
        <v>3065</v>
      </c>
      <c r="E931">
        <f t="shared" si="60"/>
        <v>221</v>
      </c>
      <c r="F931">
        <f t="shared" si="61"/>
        <v>216</v>
      </c>
      <c r="G931">
        <f t="shared" si="62"/>
        <v>206</v>
      </c>
    </row>
    <row r="932" spans="1:7" x14ac:dyDescent="0.15">
      <c r="A932" t="str">
        <f t="shared" si="59"/>
        <v xml:space="preserve">Cool Gray 3 </v>
      </c>
      <c r="B932">
        <v>970</v>
      </c>
      <c r="C932" s="970" t="s">
        <v>3068</v>
      </c>
      <c r="D932" t="s">
        <v>3067</v>
      </c>
      <c r="E932">
        <f t="shared" si="60"/>
        <v>211</v>
      </c>
      <c r="F932">
        <f t="shared" si="61"/>
        <v>206</v>
      </c>
      <c r="G932">
        <f t="shared" si="62"/>
        <v>196</v>
      </c>
    </row>
    <row r="933" spans="1:7" x14ac:dyDescent="0.15">
      <c r="A933" t="str">
        <f t="shared" si="59"/>
        <v xml:space="preserve">Cool Gray 4 </v>
      </c>
      <c r="B933">
        <v>971</v>
      </c>
      <c r="C933" s="971" t="s">
        <v>3070</v>
      </c>
      <c r="D933" t="s">
        <v>3069</v>
      </c>
      <c r="E933">
        <f t="shared" si="60"/>
        <v>196</v>
      </c>
      <c r="F933">
        <f t="shared" si="61"/>
        <v>193</v>
      </c>
      <c r="G933">
        <f t="shared" si="62"/>
        <v>186</v>
      </c>
    </row>
    <row r="934" spans="1:7" x14ac:dyDescent="0.15">
      <c r="A934" t="str">
        <f t="shared" si="59"/>
        <v xml:space="preserve">Cool Gray 5 </v>
      </c>
      <c r="B934">
        <v>972</v>
      </c>
      <c r="C934" s="972" t="s">
        <v>3072</v>
      </c>
      <c r="D934" t="s">
        <v>3071</v>
      </c>
      <c r="E934">
        <f t="shared" si="60"/>
        <v>186</v>
      </c>
      <c r="F934">
        <f t="shared" si="61"/>
        <v>183</v>
      </c>
      <c r="G934">
        <f t="shared" si="62"/>
        <v>175</v>
      </c>
    </row>
    <row r="935" spans="1:7" x14ac:dyDescent="0.15">
      <c r="A935" t="str">
        <f t="shared" si="59"/>
        <v xml:space="preserve">Cool Gray 6 </v>
      </c>
      <c r="B935">
        <v>973</v>
      </c>
      <c r="C935" s="973" t="s">
        <v>3074</v>
      </c>
      <c r="D935" t="s">
        <v>3073</v>
      </c>
      <c r="E935">
        <f t="shared" si="60"/>
        <v>181</v>
      </c>
      <c r="F935">
        <f t="shared" si="61"/>
        <v>178</v>
      </c>
      <c r="G935">
        <f t="shared" si="62"/>
        <v>170</v>
      </c>
    </row>
    <row r="936" spans="1:7" x14ac:dyDescent="0.15">
      <c r="A936" t="str">
        <f t="shared" si="59"/>
        <v xml:space="preserve">Cool Gray 7 </v>
      </c>
      <c r="B936">
        <v>974</v>
      </c>
      <c r="C936" s="974" t="s">
        <v>3076</v>
      </c>
      <c r="D936" t="s">
        <v>3075</v>
      </c>
      <c r="E936">
        <f t="shared" si="60"/>
        <v>165</v>
      </c>
      <c r="F936">
        <f t="shared" si="61"/>
        <v>163</v>
      </c>
      <c r="G936">
        <f t="shared" si="62"/>
        <v>158</v>
      </c>
    </row>
    <row r="937" spans="1:7" x14ac:dyDescent="0.15">
      <c r="A937" t="str">
        <f t="shared" si="59"/>
        <v xml:space="preserve">Cool Gray 8 </v>
      </c>
      <c r="B937">
        <v>975</v>
      </c>
      <c r="C937" s="975" t="s">
        <v>3078</v>
      </c>
      <c r="D937" t="s">
        <v>3077</v>
      </c>
      <c r="E937">
        <f t="shared" si="60"/>
        <v>155</v>
      </c>
      <c r="F937">
        <f t="shared" si="61"/>
        <v>153</v>
      </c>
      <c r="G937">
        <f t="shared" si="62"/>
        <v>147</v>
      </c>
    </row>
    <row r="938" spans="1:7" x14ac:dyDescent="0.15">
      <c r="A938" t="str">
        <f t="shared" si="59"/>
        <v xml:space="preserve">Cool Gray 9 </v>
      </c>
      <c r="B938">
        <v>976</v>
      </c>
      <c r="C938" s="976" t="s">
        <v>3080</v>
      </c>
      <c r="D938" t="s">
        <v>3079</v>
      </c>
      <c r="E938">
        <f t="shared" si="60"/>
        <v>140</v>
      </c>
      <c r="F938">
        <f t="shared" si="61"/>
        <v>137</v>
      </c>
      <c r="G938">
        <f t="shared" si="62"/>
        <v>132</v>
      </c>
    </row>
    <row r="939" spans="1:7" x14ac:dyDescent="0.15">
      <c r="A939" t="str">
        <f t="shared" si="59"/>
        <v xml:space="preserve">Cool Gray 10 </v>
      </c>
      <c r="B939">
        <v>977</v>
      </c>
      <c r="C939" s="977" t="s">
        <v>3082</v>
      </c>
      <c r="D939" t="s">
        <v>3081</v>
      </c>
      <c r="E939">
        <f t="shared" si="60"/>
        <v>119</v>
      </c>
      <c r="F939">
        <f t="shared" si="61"/>
        <v>119</v>
      </c>
      <c r="G939">
        <f t="shared" si="62"/>
        <v>114</v>
      </c>
    </row>
    <row r="940" spans="1:7" x14ac:dyDescent="0.15">
      <c r="A940" t="str">
        <f t="shared" si="59"/>
        <v xml:space="preserve">Cool Gray 11 </v>
      </c>
      <c r="B940">
        <v>978</v>
      </c>
      <c r="C940" s="978" t="s">
        <v>3084</v>
      </c>
      <c r="D940" t="s">
        <v>3083</v>
      </c>
      <c r="E940">
        <f t="shared" si="60"/>
        <v>104</v>
      </c>
      <c r="F940">
        <f t="shared" si="61"/>
        <v>102</v>
      </c>
      <c r="G940">
        <f t="shared" si="62"/>
        <v>99</v>
      </c>
    </row>
    <row r="941" spans="1:7" x14ac:dyDescent="0.15">
      <c r="A941" t="str">
        <f t="shared" si="59"/>
        <v xml:space="preserve">Warm Gray 1 </v>
      </c>
      <c r="B941">
        <v>979</v>
      </c>
      <c r="C941" s="979" t="s">
        <v>3086</v>
      </c>
      <c r="D941" t="s">
        <v>3085</v>
      </c>
      <c r="E941">
        <f t="shared" si="60"/>
        <v>229</v>
      </c>
      <c r="F941">
        <f t="shared" si="61"/>
        <v>219</v>
      </c>
      <c r="G941">
        <f t="shared" si="62"/>
        <v>204</v>
      </c>
    </row>
    <row r="942" spans="1:7" x14ac:dyDescent="0.15">
      <c r="A942" t="str">
        <f t="shared" si="59"/>
        <v xml:space="preserve">Warm Gray 2 </v>
      </c>
      <c r="B942">
        <v>980</v>
      </c>
      <c r="C942" s="980" t="s">
        <v>3088</v>
      </c>
      <c r="D942" t="s">
        <v>3087</v>
      </c>
      <c r="E942">
        <f t="shared" si="60"/>
        <v>221</v>
      </c>
      <c r="F942">
        <f t="shared" si="61"/>
        <v>209</v>
      </c>
      <c r="G942">
        <f t="shared" si="62"/>
        <v>193</v>
      </c>
    </row>
    <row r="943" spans="1:7" x14ac:dyDescent="0.15">
      <c r="A943" t="str">
        <f t="shared" si="59"/>
        <v xml:space="preserve">Warm Gray 3 </v>
      </c>
      <c r="B943">
        <v>981</v>
      </c>
      <c r="C943" s="981" t="s">
        <v>3090</v>
      </c>
      <c r="D943" t="s">
        <v>3089</v>
      </c>
      <c r="E943">
        <f t="shared" si="60"/>
        <v>204</v>
      </c>
      <c r="F943">
        <f t="shared" si="61"/>
        <v>193</v>
      </c>
      <c r="G943">
        <f t="shared" si="62"/>
        <v>178</v>
      </c>
    </row>
    <row r="944" spans="1:7" x14ac:dyDescent="0.15">
      <c r="A944" t="str">
        <f t="shared" si="59"/>
        <v xml:space="preserve">Warm Gray 4 </v>
      </c>
      <c r="B944">
        <v>982</v>
      </c>
      <c r="C944" s="982" t="s">
        <v>3092</v>
      </c>
      <c r="D944" t="s">
        <v>3091</v>
      </c>
      <c r="E944">
        <f t="shared" si="60"/>
        <v>193</v>
      </c>
      <c r="F944">
        <f t="shared" si="61"/>
        <v>181</v>
      </c>
      <c r="G944">
        <f t="shared" si="62"/>
        <v>165</v>
      </c>
    </row>
    <row r="945" spans="1:7" x14ac:dyDescent="0.15">
      <c r="A945" t="str">
        <f t="shared" si="59"/>
        <v xml:space="preserve">Warm Gray 5 </v>
      </c>
      <c r="B945">
        <v>983</v>
      </c>
      <c r="C945" s="983" t="s">
        <v>3094</v>
      </c>
      <c r="D945" t="s">
        <v>3093</v>
      </c>
      <c r="E945">
        <f t="shared" si="60"/>
        <v>181</v>
      </c>
      <c r="F945">
        <f t="shared" si="61"/>
        <v>168</v>
      </c>
      <c r="G945">
        <f t="shared" si="62"/>
        <v>153</v>
      </c>
    </row>
    <row r="946" spans="1:7" x14ac:dyDescent="0.15">
      <c r="A946" t="str">
        <f t="shared" si="59"/>
        <v xml:space="preserve">Warm Gray 6 </v>
      </c>
      <c r="B946">
        <v>984</v>
      </c>
      <c r="C946" s="984" t="s">
        <v>3096</v>
      </c>
      <c r="D946" t="s">
        <v>3095</v>
      </c>
      <c r="E946">
        <f t="shared" si="60"/>
        <v>175</v>
      </c>
      <c r="F946">
        <f t="shared" si="61"/>
        <v>163</v>
      </c>
      <c r="G946">
        <f t="shared" si="62"/>
        <v>147</v>
      </c>
    </row>
    <row r="947" spans="1:7" x14ac:dyDescent="0.15">
      <c r="A947" t="str">
        <f t="shared" si="59"/>
        <v xml:space="preserve">Warm Gray 7 </v>
      </c>
      <c r="B947">
        <v>985</v>
      </c>
      <c r="C947" s="985" t="s">
        <v>3098</v>
      </c>
      <c r="D947" t="s">
        <v>3097</v>
      </c>
      <c r="E947">
        <f t="shared" si="60"/>
        <v>163</v>
      </c>
      <c r="F947">
        <f t="shared" si="61"/>
        <v>150</v>
      </c>
      <c r="G947">
        <f t="shared" si="62"/>
        <v>135</v>
      </c>
    </row>
    <row r="948" spans="1:7" x14ac:dyDescent="0.15">
      <c r="A948" t="str">
        <f t="shared" si="59"/>
        <v xml:space="preserve">Warm Gray 8 </v>
      </c>
      <c r="B948">
        <v>986</v>
      </c>
      <c r="C948" s="986" t="s">
        <v>3100</v>
      </c>
      <c r="D948" t="s">
        <v>3099</v>
      </c>
      <c r="E948">
        <f t="shared" si="60"/>
        <v>150</v>
      </c>
      <c r="F948">
        <f t="shared" si="61"/>
        <v>137</v>
      </c>
      <c r="G948">
        <f t="shared" si="62"/>
        <v>122</v>
      </c>
    </row>
    <row r="949" spans="1:7" x14ac:dyDescent="0.15">
      <c r="A949" t="str">
        <f t="shared" si="59"/>
        <v xml:space="preserve">Warm Gray 9 </v>
      </c>
      <c r="B949">
        <v>987</v>
      </c>
      <c r="C949" s="987" t="s">
        <v>3102</v>
      </c>
      <c r="D949" t="s">
        <v>3101</v>
      </c>
      <c r="E949">
        <f t="shared" si="60"/>
        <v>140</v>
      </c>
      <c r="F949">
        <f t="shared" si="61"/>
        <v>127</v>
      </c>
      <c r="G949">
        <f t="shared" si="62"/>
        <v>112</v>
      </c>
    </row>
    <row r="950" spans="1:7" x14ac:dyDescent="0.15">
      <c r="A950" t="str">
        <f t="shared" si="59"/>
        <v xml:space="preserve">Warm Gray 10 </v>
      </c>
      <c r="B950">
        <v>988</v>
      </c>
      <c r="C950" s="988" t="s">
        <v>3104</v>
      </c>
      <c r="D950" t="s">
        <v>3103</v>
      </c>
      <c r="E950">
        <f t="shared" si="60"/>
        <v>130</v>
      </c>
      <c r="F950">
        <f t="shared" si="61"/>
        <v>114</v>
      </c>
      <c r="G950">
        <f t="shared" si="62"/>
        <v>99</v>
      </c>
    </row>
    <row r="951" spans="1:7" x14ac:dyDescent="0.15">
      <c r="A951" t="str">
        <f t="shared" si="59"/>
        <v xml:space="preserve">Warm Gray 11 </v>
      </c>
      <c r="B951">
        <v>989</v>
      </c>
      <c r="C951" s="989" t="s">
        <v>3106</v>
      </c>
      <c r="D951" t="s">
        <v>3105</v>
      </c>
      <c r="E951">
        <f t="shared" si="60"/>
        <v>109</v>
      </c>
      <c r="F951">
        <f t="shared" si="61"/>
        <v>94</v>
      </c>
      <c r="G951">
        <f t="shared" si="62"/>
        <v>81</v>
      </c>
    </row>
  </sheetData>
  <autoFilter ref="A1:G951" xr:uid="{00000000-0009-0000-0000-000003000000}"/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A5932-B5DC-453B-81AD-0EB403C52FC1}">
  <dimension ref="B4:R52"/>
  <sheetViews>
    <sheetView tabSelected="1" topLeftCell="A19" workbookViewId="0">
      <selection activeCell="L38" sqref="L38"/>
    </sheetView>
  </sheetViews>
  <sheetFormatPr defaultRowHeight="11.25" x14ac:dyDescent="0.15"/>
  <cols>
    <col min="1" max="16384" width="9" style="1001"/>
  </cols>
  <sheetData>
    <row r="4" spans="2:9" x14ac:dyDescent="0.15">
      <c r="E4" s="1001" t="s">
        <v>3614</v>
      </c>
      <c r="G4" s="1001" t="s">
        <v>3613</v>
      </c>
      <c r="H4" s="1001" t="s">
        <v>3612</v>
      </c>
      <c r="I4" s="1001" t="s">
        <v>3611</v>
      </c>
    </row>
    <row r="5" spans="2:9" x14ac:dyDescent="0.15">
      <c r="B5" s="1001" t="s">
        <v>3610</v>
      </c>
      <c r="C5" s="1001">
        <v>10</v>
      </c>
      <c r="D5" s="1001">
        <v>10</v>
      </c>
      <c r="E5" s="1001">
        <f>C5-C8</f>
        <v>10</v>
      </c>
      <c r="F5" s="1001">
        <f>D5-D8</f>
        <v>10</v>
      </c>
      <c r="G5" s="1001">
        <v>5</v>
      </c>
      <c r="H5" s="1001">
        <v>5</v>
      </c>
    </row>
    <row r="7" spans="2:9" x14ac:dyDescent="0.15">
      <c r="C7" s="1001" t="s">
        <v>3609</v>
      </c>
      <c r="D7" s="1001" t="s">
        <v>3608</v>
      </c>
      <c r="E7" s="1001" t="s">
        <v>3607</v>
      </c>
      <c r="F7" s="1001" t="s">
        <v>3606</v>
      </c>
      <c r="G7" s="1001" t="s">
        <v>3605</v>
      </c>
      <c r="H7" s="1001" t="s">
        <v>3604</v>
      </c>
    </row>
    <row r="8" spans="2:9" x14ac:dyDescent="0.15">
      <c r="C8" s="1001">
        <v>0</v>
      </c>
      <c r="D8" s="1001">
        <v>0</v>
      </c>
      <c r="E8" s="1001">
        <v>2</v>
      </c>
      <c r="F8" s="1001">
        <v>1</v>
      </c>
      <c r="G8" s="1001">
        <f>C5-C8</f>
        <v>10</v>
      </c>
      <c r="H8" s="1001">
        <f>D5-D8</f>
        <v>10</v>
      </c>
    </row>
    <row r="9" spans="2:9" x14ac:dyDescent="0.15">
      <c r="B9" s="1001">
        <v>0.1</v>
      </c>
    </row>
    <row r="16" spans="2:9" x14ac:dyDescent="0.15">
      <c r="B16" s="1001" t="s">
        <v>3603</v>
      </c>
    </row>
    <row r="17" spans="4:18" x14ac:dyDescent="0.15">
      <c r="L17" s="1001" t="s">
        <v>3602</v>
      </c>
    </row>
    <row r="18" spans="4:18" x14ac:dyDescent="0.15">
      <c r="E18" s="1001" t="s">
        <v>3601</v>
      </c>
      <c r="F18" s="1001" t="s">
        <v>3574</v>
      </c>
      <c r="H18" s="1001" t="s">
        <v>3600</v>
      </c>
      <c r="I18" s="1001" t="s">
        <v>3599</v>
      </c>
    </row>
    <row r="19" spans="4:18" x14ac:dyDescent="0.15">
      <c r="D19" s="1001" t="s">
        <v>3598</v>
      </c>
      <c r="E19" s="1001" t="s">
        <v>3597</v>
      </c>
      <c r="F19" s="1001" t="s">
        <v>3596</v>
      </c>
      <c r="H19" s="1001" t="s">
        <v>3595</v>
      </c>
      <c r="I19" s="1001" t="s">
        <v>3591</v>
      </c>
    </row>
    <row r="20" spans="4:18" x14ac:dyDescent="0.15">
      <c r="D20" s="1001" t="s">
        <v>3594</v>
      </c>
      <c r="E20" s="1001" t="s">
        <v>3593</v>
      </c>
      <c r="F20" s="1001" t="s">
        <v>3592</v>
      </c>
      <c r="H20" s="1001" t="s">
        <v>3591</v>
      </c>
      <c r="J20" s="1001" t="s">
        <v>3590</v>
      </c>
    </row>
    <row r="21" spans="4:18" x14ac:dyDescent="0.15">
      <c r="D21" s="1001" t="s">
        <v>3583</v>
      </c>
      <c r="E21" s="1001" t="s">
        <v>3589</v>
      </c>
      <c r="J21" s="1001" t="s">
        <v>3588</v>
      </c>
    </row>
    <row r="22" spans="4:18" x14ac:dyDescent="0.15">
      <c r="D22" s="1001" t="s">
        <v>3582</v>
      </c>
      <c r="E22" s="1001" t="s">
        <v>3587</v>
      </c>
      <c r="F22" s="1001" t="s">
        <v>3586</v>
      </c>
    </row>
    <row r="24" spans="4:18" x14ac:dyDescent="0.15">
      <c r="H24" s="1001" t="s">
        <v>3571</v>
      </c>
      <c r="I24" s="1001">
        <v>2</v>
      </c>
    </row>
    <row r="25" spans="4:18" x14ac:dyDescent="0.15">
      <c r="H25" s="1001" t="s">
        <v>3585</v>
      </c>
      <c r="I25" s="1001">
        <v>10</v>
      </c>
    </row>
    <row r="26" spans="4:18" x14ac:dyDescent="0.15">
      <c r="I26" s="1001" t="s">
        <v>3584</v>
      </c>
      <c r="K26" s="1001" t="s">
        <v>3583</v>
      </c>
      <c r="M26" s="1001" t="s">
        <v>3582</v>
      </c>
      <c r="O26" s="1001" t="s">
        <v>3581</v>
      </c>
      <c r="Q26" s="1001" t="s">
        <v>3580</v>
      </c>
    </row>
    <row r="27" spans="4:18" x14ac:dyDescent="0.15">
      <c r="E27" s="1001" t="s">
        <v>3579</v>
      </c>
      <c r="F27" s="1001" t="s">
        <v>3578</v>
      </c>
      <c r="G27" s="1001" t="s">
        <v>3577</v>
      </c>
      <c r="H27" s="1001" t="s">
        <v>3576</v>
      </c>
      <c r="I27" s="1001" t="s">
        <v>3574</v>
      </c>
      <c r="J27" s="1001" t="s">
        <v>3573</v>
      </c>
      <c r="K27" s="1001" t="s">
        <v>3574</v>
      </c>
      <c r="L27" s="1001" t="s">
        <v>3573</v>
      </c>
      <c r="O27" s="1001" t="s">
        <v>3574</v>
      </c>
      <c r="P27" s="1001" t="s">
        <v>3573</v>
      </c>
      <c r="Q27" s="1001" t="s">
        <v>3574</v>
      </c>
      <c r="R27" s="1001" t="s">
        <v>3573</v>
      </c>
    </row>
    <row r="28" spans="4:18" x14ac:dyDescent="0.15">
      <c r="E28" s="1001">
        <v>10</v>
      </c>
      <c r="F28" s="1001">
        <v>1</v>
      </c>
      <c r="G28" s="1001">
        <v>1</v>
      </c>
      <c r="H28" s="1001">
        <f>SQRT(F28*F28+G28*G28)</f>
        <v>1.4142135623730951</v>
      </c>
      <c r="O28" s="1001">
        <f>H28/I24</f>
        <v>0.70710678118654757</v>
      </c>
      <c r="P28" s="1001">
        <f>H28*O28/2</f>
        <v>0.50000000000000011</v>
      </c>
      <c r="Q28" s="1001">
        <f>O28</f>
        <v>0.70710678118654757</v>
      </c>
      <c r="R28" s="1001">
        <f>P28</f>
        <v>0.50000000000000011</v>
      </c>
    </row>
    <row r="29" spans="4:18" x14ac:dyDescent="0.15">
      <c r="F29" s="1001">
        <v>1</v>
      </c>
      <c r="G29" s="1001">
        <v>1</v>
      </c>
      <c r="H29" s="1001">
        <f>SQRT(F29*F29+G29*G29)</f>
        <v>1.4142135623730951</v>
      </c>
      <c r="I29" s="1001">
        <f>($I$25-H29)/$I$24</f>
        <v>4.2928932188134521</v>
      </c>
      <c r="J29" s="1001">
        <f>(H29+10)*I29/2</f>
        <v>24.5</v>
      </c>
      <c r="O29" s="1001">
        <f>10/I24</f>
        <v>5</v>
      </c>
      <c r="P29" s="1001">
        <f>O29*10/2</f>
        <v>25</v>
      </c>
      <c r="Q29" s="1001">
        <f>I29+O29</f>
        <v>9.2928932188134521</v>
      </c>
      <c r="R29" s="1001">
        <f>J29+P29</f>
        <v>49.5</v>
      </c>
    </row>
    <row r="30" spans="4:18" x14ac:dyDescent="0.15">
      <c r="F30" s="1001">
        <v>1</v>
      </c>
      <c r="G30" s="1001">
        <v>1</v>
      </c>
      <c r="H30" s="1001">
        <f>SQRT(F30*F30+G30*G30)</f>
        <v>1.4142135623730951</v>
      </c>
      <c r="I30" s="1001">
        <f>($I$25-H30)/$I$24</f>
        <v>4.2928932188134521</v>
      </c>
      <c r="J30" s="1001">
        <f>(H30+10)*I30/2</f>
        <v>24.5</v>
      </c>
      <c r="O30" s="1001">
        <f>10/I25</f>
        <v>1</v>
      </c>
      <c r="P30" s="1001">
        <f>O30*10/2</f>
        <v>5</v>
      </c>
    </row>
    <row r="32" spans="4:18" x14ac:dyDescent="0.15">
      <c r="D32" s="1001" t="s">
        <v>3571</v>
      </c>
      <c r="E32" s="1001" t="s">
        <v>3573</v>
      </c>
    </row>
    <row r="33" spans="3:12" x14ac:dyDescent="0.15">
      <c r="C33" s="1001">
        <v>0</v>
      </c>
      <c r="D33" s="1001">
        <v>2</v>
      </c>
      <c r="E33" s="1001">
        <v>1.4</v>
      </c>
      <c r="F33" s="1001">
        <v>0</v>
      </c>
    </row>
    <row r="34" spans="3:12" x14ac:dyDescent="0.15">
      <c r="C34" s="1001">
        <v>0.1</v>
      </c>
      <c r="D34" s="1001">
        <v>2</v>
      </c>
      <c r="E34" s="1001">
        <f>E33+0.2</f>
        <v>1.5999999999999999</v>
      </c>
      <c r="F34" s="1001">
        <f>E34*0.1</f>
        <v>0.16</v>
      </c>
    </row>
    <row r="35" spans="3:12" x14ac:dyDescent="0.15">
      <c r="C35" s="1001">
        <v>0.2</v>
      </c>
      <c r="D35" s="1001">
        <v>2</v>
      </c>
      <c r="E35" s="1001">
        <f>E34+0.2</f>
        <v>1.7999999999999998</v>
      </c>
      <c r="F35" s="1001">
        <f>E35*0.1</f>
        <v>0.18</v>
      </c>
    </row>
    <row r="36" spans="3:12" x14ac:dyDescent="0.15">
      <c r="C36" s="1001">
        <f>0.1+C35</f>
        <v>0.30000000000000004</v>
      </c>
      <c r="D36" s="1001">
        <v>0</v>
      </c>
      <c r="E36" s="1001">
        <f>E35+0.2</f>
        <v>1.9999999999999998</v>
      </c>
      <c r="F36" s="1001">
        <f>E36*0.1</f>
        <v>0.19999999999999998</v>
      </c>
      <c r="J36" s="1001" t="s">
        <v>3575</v>
      </c>
    </row>
    <row r="37" spans="3:12" x14ac:dyDescent="0.15">
      <c r="C37" s="1001">
        <f>0.1+C36</f>
        <v>0.4</v>
      </c>
      <c r="D37" s="1001">
        <v>0</v>
      </c>
      <c r="E37" s="1001">
        <f>E36+0.2</f>
        <v>2.1999999999999997</v>
      </c>
      <c r="F37" s="1001">
        <f>E37*0.1</f>
        <v>0.21999999999999997</v>
      </c>
      <c r="K37" s="1001" t="s">
        <v>3574</v>
      </c>
      <c r="L37" s="1001" t="s">
        <v>3573</v>
      </c>
    </row>
    <row r="38" spans="3:12" x14ac:dyDescent="0.15">
      <c r="C38" s="1001">
        <f>0.1+C37</f>
        <v>0.5</v>
      </c>
      <c r="D38" s="1001">
        <v>0</v>
      </c>
      <c r="E38" s="1001">
        <f>E37+0.2</f>
        <v>2.4</v>
      </c>
      <c r="F38" s="1001">
        <f>E38*0.1</f>
        <v>0.24</v>
      </c>
      <c r="I38" s="1001" t="s">
        <v>3572</v>
      </c>
      <c r="J38" s="1001" t="s">
        <v>3571</v>
      </c>
      <c r="K38" s="1001" t="s">
        <v>3570</v>
      </c>
      <c r="L38" s="1002" t="s">
        <v>3569</v>
      </c>
    </row>
    <row r="39" spans="3:12" x14ac:dyDescent="0.15">
      <c r="C39" s="1001">
        <f>0.1+C38</f>
        <v>0.6</v>
      </c>
      <c r="D39" s="1001">
        <v>0</v>
      </c>
      <c r="E39" s="1001">
        <f>E38+0.2</f>
        <v>2.6</v>
      </c>
      <c r="F39" s="1001">
        <f>E39*0.1</f>
        <v>0.26</v>
      </c>
    </row>
    <row r="40" spans="3:12" x14ac:dyDescent="0.15">
      <c r="C40" s="1001">
        <f>0.1+C39</f>
        <v>0.7</v>
      </c>
      <c r="D40" s="1001">
        <v>-2</v>
      </c>
      <c r="E40" s="1001">
        <f>E39+0.2</f>
        <v>2.8000000000000003</v>
      </c>
      <c r="F40" s="1001">
        <f>E40*0.1</f>
        <v>0.28000000000000003</v>
      </c>
    </row>
    <row r="41" spans="3:12" x14ac:dyDescent="0.15">
      <c r="C41" s="1001">
        <f>0.1+C40</f>
        <v>0.79999999999999993</v>
      </c>
      <c r="D41" s="1001">
        <v>-2</v>
      </c>
      <c r="E41" s="1001">
        <f>E40+0.2</f>
        <v>3.0000000000000004</v>
      </c>
      <c r="F41" s="1001">
        <f>E41*0.1</f>
        <v>0.30000000000000004</v>
      </c>
    </row>
    <row r="42" spans="3:12" x14ac:dyDescent="0.15">
      <c r="C42" s="1001">
        <f>0.1+C41</f>
        <v>0.89999999999999991</v>
      </c>
      <c r="D42" s="1001">
        <v>-2</v>
      </c>
      <c r="E42" s="1001">
        <f>E41+0.2</f>
        <v>3.2000000000000006</v>
      </c>
      <c r="F42" s="1001">
        <f>E42*0.1</f>
        <v>0.32000000000000006</v>
      </c>
    </row>
    <row r="43" spans="3:12" x14ac:dyDescent="0.15">
      <c r="C43" s="1001">
        <f>0.1+C42</f>
        <v>0.99999999999999989</v>
      </c>
      <c r="D43" s="1001">
        <v>-2</v>
      </c>
      <c r="E43" s="1001">
        <f>E42+0.2</f>
        <v>3.4000000000000008</v>
      </c>
      <c r="F43" s="1001">
        <f>E43*0.1</f>
        <v>0.34000000000000008</v>
      </c>
    </row>
    <row r="44" spans="3:12" x14ac:dyDescent="0.15">
      <c r="C44" s="1001">
        <f>0.1+C43</f>
        <v>1.0999999999999999</v>
      </c>
      <c r="D44" s="1001">
        <v>-2</v>
      </c>
      <c r="E44" s="1001">
        <f>E43+0.2</f>
        <v>3.600000000000001</v>
      </c>
      <c r="F44" s="1001">
        <f>E44*0.1</f>
        <v>0.3600000000000001</v>
      </c>
    </row>
    <row r="45" spans="3:12" x14ac:dyDescent="0.15">
      <c r="C45" s="1001">
        <f>0.1+C44</f>
        <v>1.2</v>
      </c>
      <c r="D45" s="1001">
        <v>-2</v>
      </c>
      <c r="E45" s="1001">
        <f>E44+0.2</f>
        <v>3.8000000000000012</v>
      </c>
      <c r="F45" s="1001">
        <f>E45*0.1</f>
        <v>0.38000000000000012</v>
      </c>
    </row>
    <row r="46" spans="3:12" x14ac:dyDescent="0.15">
      <c r="C46" s="1001">
        <f>0.1+C45</f>
        <v>1.3</v>
      </c>
      <c r="D46" s="1001">
        <v>-2</v>
      </c>
      <c r="E46" s="1001">
        <f>E45+0.2</f>
        <v>4.0000000000000009</v>
      </c>
      <c r="F46" s="1001">
        <f>E46*0.1</f>
        <v>0.40000000000000013</v>
      </c>
    </row>
    <row r="47" spans="3:12" x14ac:dyDescent="0.15">
      <c r="C47" s="1001">
        <f>0.1+C46</f>
        <v>1.4000000000000001</v>
      </c>
      <c r="D47" s="1001">
        <v>-2</v>
      </c>
      <c r="E47" s="1001">
        <f>E46+0.2</f>
        <v>4.2000000000000011</v>
      </c>
      <c r="F47" s="1001">
        <f>E47*0.1</f>
        <v>0.42000000000000015</v>
      </c>
    </row>
    <row r="48" spans="3:12" x14ac:dyDescent="0.15">
      <c r="C48" s="1001">
        <f>0.1+C47</f>
        <v>1.5000000000000002</v>
      </c>
      <c r="D48" s="1001">
        <v>-2</v>
      </c>
      <c r="E48" s="1001">
        <f>E47+0.2</f>
        <v>4.4000000000000012</v>
      </c>
      <c r="F48" s="1001">
        <f>E48*0.1</f>
        <v>0.44000000000000017</v>
      </c>
    </row>
    <row r="49" spans="3:6" x14ac:dyDescent="0.15">
      <c r="C49" s="1001">
        <f>0.1+C48</f>
        <v>1.6000000000000003</v>
      </c>
      <c r="D49" s="1001">
        <v>-2</v>
      </c>
      <c r="E49" s="1001">
        <f>E48+0.2</f>
        <v>4.6000000000000014</v>
      </c>
      <c r="F49" s="1001">
        <f>E49*0.1</f>
        <v>0.46000000000000019</v>
      </c>
    </row>
    <row r="50" spans="3:6" x14ac:dyDescent="0.15">
      <c r="C50" s="1001">
        <f>0.1+C49</f>
        <v>1.7000000000000004</v>
      </c>
      <c r="D50" s="1001">
        <v>-2</v>
      </c>
      <c r="E50" s="1001">
        <f>E49+0.2</f>
        <v>4.8000000000000016</v>
      </c>
      <c r="F50" s="1001">
        <f>E50*0.1</f>
        <v>0.4800000000000002</v>
      </c>
    </row>
    <row r="51" spans="3:6" x14ac:dyDescent="0.15">
      <c r="C51" s="1001">
        <f>0.1+C50</f>
        <v>1.8000000000000005</v>
      </c>
      <c r="D51" s="1001">
        <v>-2</v>
      </c>
      <c r="E51" s="1001">
        <f>E50+0.2</f>
        <v>5.0000000000000018</v>
      </c>
      <c r="F51" s="1001">
        <f>E51*0.1</f>
        <v>0.50000000000000022</v>
      </c>
    </row>
    <row r="52" spans="3:6" x14ac:dyDescent="0.15">
      <c r="C52" s="1001">
        <f>0.1+C51</f>
        <v>1.9000000000000006</v>
      </c>
      <c r="D52" s="1001">
        <v>-2</v>
      </c>
      <c r="E52" s="1001">
        <f>E51+0.2</f>
        <v>5.200000000000002</v>
      </c>
      <c r="F52" s="1001">
        <f>E52*0.1</f>
        <v>0.52000000000000024</v>
      </c>
    </row>
  </sheetData>
  <phoneticPr fontId="2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テニスコート</vt:lpstr>
      <vt:lpstr>Sheet2</vt:lpstr>
      <vt:lpstr>スピード</vt:lpstr>
      <vt:lpstr>色マップ</vt:lpstr>
      <vt:lpstr>色マップ2</vt:lpstr>
      <vt:lpstr>Sheet2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kazuo.kawarabayashi</dc:creator>
  <cp:lastModifiedBy>河原林 一王</cp:lastModifiedBy>
  <dcterms:created xsi:type="dcterms:W3CDTF">2019-12-24T02:38:38Z</dcterms:created>
  <dcterms:modified xsi:type="dcterms:W3CDTF">2025-03-31T07:20:15Z</dcterms:modified>
</cp:coreProperties>
</file>